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cuments\"/>
    </mc:Choice>
  </mc:AlternateContent>
  <xr:revisionPtr revIDLastSave="0" documentId="8_{1B9433D7-5285-49E8-ADF1-357FCC51C809}" xr6:coauthVersionLast="47" xr6:coauthVersionMax="47" xr10:uidLastSave="{00000000-0000-0000-0000-000000000000}"/>
  <bookViews>
    <workbookView xWindow="-120" yWindow="-120" windowWidth="29040" windowHeight="15720" xr2:uid="{58CD0BEE-7824-45DF-A032-8456D32F5D6B}"/>
  </bookViews>
  <sheets>
    <sheet name="Planilh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7" i="1" l="1"/>
  <c r="K27" i="1"/>
  <c r="L27" i="1"/>
  <c r="M27" i="1"/>
  <c r="N27" i="1"/>
  <c r="O27" i="1"/>
  <c r="I27" i="1"/>
  <c r="O25" i="1"/>
  <c r="N25" i="1"/>
  <c r="M25" i="1"/>
  <c r="L25" i="1"/>
  <c r="K25" i="1"/>
  <c r="J25" i="1"/>
  <c r="I25" i="1"/>
  <c r="O19" i="1"/>
  <c r="O20" i="1"/>
  <c r="O21" i="1"/>
  <c r="O22" i="1"/>
  <c r="O23" i="1"/>
  <c r="O18" i="1"/>
  <c r="N19" i="1"/>
  <c r="N20" i="1"/>
  <c r="N21" i="1"/>
  <c r="N22" i="1"/>
  <c r="N23" i="1"/>
  <c r="N18" i="1"/>
  <c r="M19" i="1"/>
  <c r="M20" i="1"/>
  <c r="M21" i="1"/>
  <c r="M22" i="1"/>
  <c r="M23" i="1"/>
  <c r="M18" i="1"/>
  <c r="L19" i="1"/>
  <c r="L20" i="1"/>
  <c r="L21" i="1"/>
  <c r="L22" i="1"/>
  <c r="L23" i="1"/>
  <c r="L18" i="1"/>
  <c r="M3" i="1"/>
  <c r="M4" i="1"/>
  <c r="M2" i="1"/>
  <c r="L3" i="1"/>
  <c r="L4" i="1"/>
  <c r="L2" i="1"/>
  <c r="K3" i="1"/>
  <c r="K4" i="1"/>
  <c r="K2" i="1"/>
  <c r="J15" i="1"/>
  <c r="K15" i="1"/>
  <c r="I15" i="1"/>
  <c r="O9" i="1"/>
  <c r="O10" i="1"/>
  <c r="O11" i="1"/>
  <c r="O12" i="1"/>
  <c r="O13" i="1"/>
  <c r="O8" i="1"/>
  <c r="O15" i="1" s="1"/>
  <c r="N13" i="1"/>
  <c r="N9" i="1"/>
  <c r="N10" i="1"/>
  <c r="N11" i="1"/>
  <c r="N12" i="1"/>
  <c r="N8" i="1"/>
  <c r="M11" i="1"/>
  <c r="M9" i="1"/>
  <c r="M10" i="1"/>
  <c r="M12" i="1"/>
  <c r="M13" i="1"/>
  <c r="M8" i="1"/>
  <c r="M15" i="1" s="1"/>
  <c r="L9" i="1"/>
  <c r="L10" i="1"/>
  <c r="L11" i="1"/>
  <c r="L12" i="1"/>
  <c r="L13" i="1"/>
  <c r="L8" i="1"/>
  <c r="J2" i="1"/>
  <c r="J3" i="1"/>
  <c r="J4" i="1"/>
  <c r="B14" i="1"/>
  <c r="B13" i="1"/>
  <c r="B12" i="1"/>
  <c r="L15" i="1" l="1"/>
  <c r="N15" i="1"/>
</calcChain>
</file>

<file path=xl/sharedStrings.xml><?xml version="1.0" encoding="utf-8"?>
<sst xmlns="http://schemas.openxmlformats.org/spreadsheetml/2006/main" count="46" uniqueCount="30">
  <si>
    <t>Claudio lima</t>
  </si>
  <si>
    <t>Ana</t>
  </si>
  <si>
    <t>Pedro</t>
  </si>
  <si>
    <t>Nota01</t>
  </si>
  <si>
    <t>Nota02</t>
  </si>
  <si>
    <t>Soma</t>
  </si>
  <si>
    <t>Nome do aluno</t>
  </si>
  <si>
    <t>Média</t>
  </si>
  <si>
    <t>Máximo</t>
  </si>
  <si>
    <t>Mínimo</t>
  </si>
  <si>
    <t>CÓDIGO</t>
  </si>
  <si>
    <t>PRODUTO</t>
  </si>
  <si>
    <t>JAN</t>
  </si>
  <si>
    <t>FEV</t>
  </si>
  <si>
    <t>MAR</t>
  </si>
  <si>
    <t>TOTAL 1ºTRIM</t>
  </si>
  <si>
    <t>MÁXIMO</t>
  </si>
  <si>
    <t>MÍNIMO</t>
  </si>
  <si>
    <t>MÉDIA</t>
  </si>
  <si>
    <t>PORCA</t>
  </si>
  <si>
    <t>PARAFUSO</t>
  </si>
  <si>
    <t>ARRUELA</t>
  </si>
  <si>
    <t>PREGO</t>
  </si>
  <si>
    <t>ALICATE</t>
  </si>
  <si>
    <t>MARTELO</t>
  </si>
  <si>
    <t>ABR</t>
  </si>
  <si>
    <t>MAI</t>
  </si>
  <si>
    <t>JUN</t>
  </si>
  <si>
    <t>TOTAIS</t>
  </si>
  <si>
    <t>TOTAIS DO SEMESTRE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</si>
</sst>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&quot;R$&quot;\ #,##0.00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165" fontId="0" fillId="0" borderId="1" xfId="1" applyNumberFormat="1" applyFont="1" applyBorder="1" applyAlignment="1">
      <alignment horizontal="right"/>
    </xf>
    <xf numFmtId="165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" fontId="0" fillId="0" borderId="1" xfId="0" applyNumberFormat="1" applyBorder="1"/>
    <xf numFmtId="0" fontId="0" fillId="2" borderId="1" xfId="0" applyFill="1" applyBorder="1"/>
    <xf numFmtId="165" fontId="0" fillId="0" borderId="1" xfId="0" applyNumberFormat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28CCF-77A0-4C50-A082-1F49C28C64DC}">
  <dimension ref="A1:O27"/>
  <sheetViews>
    <sheetView tabSelected="1" zoomScaleNormal="100" workbookViewId="0">
      <selection activeCell="L31" sqref="L31"/>
    </sheetView>
  </sheetViews>
  <sheetFormatPr defaultRowHeight="15" x14ac:dyDescent="0.25"/>
  <cols>
    <col min="7" max="7" width="14.7109375" bestFit="1" customWidth="1"/>
    <col min="8" max="8" width="19.85546875" customWidth="1"/>
    <col min="9" max="10" width="12.140625" bestFit="1" customWidth="1"/>
    <col min="11" max="11" width="13.28515625" bestFit="1" customWidth="1"/>
    <col min="12" max="12" width="13.5703125" customWidth="1"/>
    <col min="13" max="15" width="11.7109375" bestFit="1" customWidth="1"/>
  </cols>
  <sheetData>
    <row r="1" spans="1:15" x14ac:dyDescent="0.25">
      <c r="G1" s="3" t="s">
        <v>6</v>
      </c>
      <c r="H1" s="3" t="s">
        <v>3</v>
      </c>
      <c r="I1" s="3" t="s">
        <v>4</v>
      </c>
      <c r="J1" s="3" t="s">
        <v>5</v>
      </c>
      <c r="K1" s="4" t="s">
        <v>7</v>
      </c>
      <c r="L1" s="4" t="s">
        <v>8</v>
      </c>
      <c r="M1" s="4" t="s">
        <v>9</v>
      </c>
    </row>
    <row r="2" spans="1:15" x14ac:dyDescent="0.25">
      <c r="B2">
        <v>1</v>
      </c>
      <c r="G2" s="2" t="s">
        <v>0</v>
      </c>
      <c r="H2" s="2">
        <v>10</v>
      </c>
      <c r="I2" s="2">
        <v>8</v>
      </c>
      <c r="J2" s="2">
        <f>H2+I2</f>
        <v>18</v>
      </c>
      <c r="K2" s="2">
        <f>AVERAGE(H2:I2)</f>
        <v>9</v>
      </c>
      <c r="L2" s="2">
        <f>MAX(H2:I2)</f>
        <v>10</v>
      </c>
      <c r="M2" s="2">
        <f>MIN(H2:I2)</f>
        <v>8</v>
      </c>
    </row>
    <row r="3" spans="1:15" x14ac:dyDescent="0.25">
      <c r="B3">
        <v>2</v>
      </c>
      <c r="G3" s="2" t="s">
        <v>1</v>
      </c>
      <c r="H3" s="2">
        <v>5</v>
      </c>
      <c r="I3" s="2">
        <v>10</v>
      </c>
      <c r="J3" s="2">
        <f>H3+I3</f>
        <v>15</v>
      </c>
      <c r="K3" s="2">
        <f t="shared" ref="K3:K4" si="0">AVERAGE(H3:I3)</f>
        <v>7.5</v>
      </c>
      <c r="L3" s="2">
        <f t="shared" ref="L3:L4" si="1">MAX(H3:I3)</f>
        <v>10</v>
      </c>
      <c r="M3" s="2">
        <f t="shared" ref="M3:M4" si="2">MIN(H3:I3)</f>
        <v>5</v>
      </c>
    </row>
    <row r="4" spans="1:15" x14ac:dyDescent="0.25">
      <c r="B4">
        <v>3</v>
      </c>
      <c r="G4" s="2" t="s">
        <v>2</v>
      </c>
      <c r="H4" s="2">
        <v>7</v>
      </c>
      <c r="I4" s="2">
        <v>7</v>
      </c>
      <c r="J4" s="2">
        <f>H4+I4</f>
        <v>14</v>
      </c>
      <c r="K4" s="2">
        <f t="shared" si="0"/>
        <v>7</v>
      </c>
      <c r="L4" s="2">
        <f t="shared" si="1"/>
        <v>7</v>
      </c>
      <c r="M4" s="2">
        <f t="shared" si="2"/>
        <v>7</v>
      </c>
    </row>
    <row r="5" spans="1:15" x14ac:dyDescent="0.25">
      <c r="B5">
        <v>4</v>
      </c>
    </row>
    <row r="6" spans="1:15" x14ac:dyDescent="0.25">
      <c r="B6">
        <v>5</v>
      </c>
    </row>
    <row r="7" spans="1:15" x14ac:dyDescent="0.25">
      <c r="B7">
        <v>6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9" t="s">
        <v>15</v>
      </c>
      <c r="M7" s="9" t="s">
        <v>16</v>
      </c>
      <c r="N7" s="9" t="s">
        <v>17</v>
      </c>
      <c r="O7" s="9" t="s">
        <v>18</v>
      </c>
    </row>
    <row r="8" spans="1:15" x14ac:dyDescent="0.25">
      <c r="B8">
        <v>7</v>
      </c>
      <c r="G8" s="2">
        <v>1</v>
      </c>
      <c r="H8" s="5" t="s">
        <v>19</v>
      </c>
      <c r="I8" s="6">
        <v>4500</v>
      </c>
      <c r="J8" s="6">
        <v>5040</v>
      </c>
      <c r="K8" s="6">
        <v>5696</v>
      </c>
      <c r="L8" s="7">
        <f>SUM(I8:K8)</f>
        <v>15236</v>
      </c>
      <c r="M8" s="7">
        <f>MAX(I8:K8)</f>
        <v>5696</v>
      </c>
      <c r="N8" s="7">
        <f>MIN(I8:K8)</f>
        <v>4500</v>
      </c>
      <c r="O8" s="7">
        <f>AVERAGE(I8:K8)</f>
        <v>5078.666666666667</v>
      </c>
    </row>
    <row r="9" spans="1:15" x14ac:dyDescent="0.25">
      <c r="B9">
        <v>8</v>
      </c>
      <c r="G9" s="2">
        <v>2</v>
      </c>
      <c r="H9" s="5" t="s">
        <v>20</v>
      </c>
      <c r="I9" s="6">
        <v>6250</v>
      </c>
      <c r="J9" s="6">
        <v>7000</v>
      </c>
      <c r="K9" s="6">
        <v>7910</v>
      </c>
      <c r="L9" s="7">
        <f t="shared" ref="L9:L13" si="3">SUM(I9:K9)</f>
        <v>21160</v>
      </c>
      <c r="M9" s="7">
        <f t="shared" ref="M9:M13" si="4">MAX(I9:K9)</f>
        <v>7910</v>
      </c>
      <c r="N9" s="7">
        <f t="shared" ref="N9:N13" si="5">MIN(I9:K9)</f>
        <v>6250</v>
      </c>
      <c r="O9" s="7">
        <f t="shared" ref="O9:O13" si="6">AVERAGE(I9:K9)</f>
        <v>7053.333333333333</v>
      </c>
    </row>
    <row r="10" spans="1:15" x14ac:dyDescent="0.25">
      <c r="B10">
        <v>9</v>
      </c>
      <c r="G10" s="2">
        <v>3</v>
      </c>
      <c r="H10" s="5" t="s">
        <v>21</v>
      </c>
      <c r="I10" s="6">
        <v>3300</v>
      </c>
      <c r="J10" s="6">
        <v>3696</v>
      </c>
      <c r="K10" s="6">
        <v>4176</v>
      </c>
      <c r="L10" s="7">
        <f t="shared" si="3"/>
        <v>11172</v>
      </c>
      <c r="M10" s="7">
        <f t="shared" si="4"/>
        <v>4176</v>
      </c>
      <c r="N10" s="7">
        <f t="shared" si="5"/>
        <v>3300</v>
      </c>
      <c r="O10" s="7">
        <f t="shared" si="6"/>
        <v>3724</v>
      </c>
    </row>
    <row r="11" spans="1:15" x14ac:dyDescent="0.25">
      <c r="B11">
        <v>10</v>
      </c>
      <c r="G11" s="2">
        <v>4</v>
      </c>
      <c r="H11" s="5" t="s">
        <v>22</v>
      </c>
      <c r="I11" s="6">
        <v>8000</v>
      </c>
      <c r="J11" s="6">
        <v>8690</v>
      </c>
      <c r="K11" s="6">
        <v>10125</v>
      </c>
      <c r="L11" s="7">
        <f t="shared" si="3"/>
        <v>26815</v>
      </c>
      <c r="M11" s="7">
        <f>MAX(I11:K11)</f>
        <v>10125</v>
      </c>
      <c r="N11" s="7">
        <f t="shared" si="5"/>
        <v>8000</v>
      </c>
      <c r="O11" s="7">
        <f t="shared" si="6"/>
        <v>8938.3333333333339</v>
      </c>
    </row>
    <row r="12" spans="1:15" x14ac:dyDescent="0.25">
      <c r="A12" s="1" t="s">
        <v>7</v>
      </c>
      <c r="B12" s="1">
        <f>AVERAGE(B2:B11)</f>
        <v>5.5</v>
      </c>
      <c r="G12" s="2">
        <v>5</v>
      </c>
      <c r="H12" s="5" t="s">
        <v>23</v>
      </c>
      <c r="I12" s="6">
        <v>4557</v>
      </c>
      <c r="J12" s="6">
        <v>5104</v>
      </c>
      <c r="K12" s="6">
        <v>5676</v>
      </c>
      <c r="L12" s="7">
        <f t="shared" si="3"/>
        <v>15337</v>
      </c>
      <c r="M12" s="7">
        <f t="shared" si="4"/>
        <v>5676</v>
      </c>
      <c r="N12" s="7">
        <f t="shared" si="5"/>
        <v>4557</v>
      </c>
      <c r="O12" s="7">
        <f t="shared" si="6"/>
        <v>5112.333333333333</v>
      </c>
    </row>
    <row r="13" spans="1:15" x14ac:dyDescent="0.25">
      <c r="A13" s="1" t="s">
        <v>8</v>
      </c>
      <c r="B13" s="1">
        <f>MAX(B2:B11)</f>
        <v>10</v>
      </c>
      <c r="G13" s="2">
        <v>6</v>
      </c>
      <c r="H13" s="5" t="s">
        <v>24</v>
      </c>
      <c r="I13" s="6">
        <v>3260</v>
      </c>
      <c r="J13" s="6">
        <v>3640</v>
      </c>
      <c r="K13" s="6">
        <v>4113</v>
      </c>
      <c r="L13" s="7">
        <f t="shared" si="3"/>
        <v>11013</v>
      </c>
      <c r="M13" s="7">
        <f t="shared" si="4"/>
        <v>4113</v>
      </c>
      <c r="N13" s="7">
        <f t="shared" si="5"/>
        <v>3260</v>
      </c>
      <c r="O13" s="7">
        <f t="shared" si="6"/>
        <v>3671</v>
      </c>
    </row>
    <row r="14" spans="1:15" x14ac:dyDescent="0.25">
      <c r="A14" s="1" t="s">
        <v>9</v>
      </c>
      <c r="B14" s="1">
        <f>MIN(B2:B11)</f>
        <v>1</v>
      </c>
    </row>
    <row r="15" spans="1:15" x14ac:dyDescent="0.25">
      <c r="H15" s="8" t="s">
        <v>28</v>
      </c>
      <c r="I15" s="7">
        <f>SUM(I8:I13)</f>
        <v>29867</v>
      </c>
      <c r="J15" s="7">
        <f>SUM(J8:J13)</f>
        <v>33170</v>
      </c>
      <c r="K15" s="7">
        <f>SUM(K8:K13)</f>
        <v>37696</v>
      </c>
      <c r="L15" s="7">
        <f>SUM(L8:L13)</f>
        <v>100733</v>
      </c>
      <c r="M15" s="7">
        <f>SUM(M8:M13)</f>
        <v>37696</v>
      </c>
      <c r="N15" s="7">
        <f>SUM(N8:N13)</f>
        <v>29867</v>
      </c>
      <c r="O15" s="7">
        <f>SUM(O8:O13)</f>
        <v>33577.666666666672</v>
      </c>
    </row>
    <row r="17" spans="7:15" x14ac:dyDescent="0.25">
      <c r="G17" s="8" t="s">
        <v>10</v>
      </c>
      <c r="H17" s="8" t="s">
        <v>11</v>
      </c>
      <c r="I17" s="8" t="s">
        <v>25</v>
      </c>
      <c r="J17" s="8" t="s">
        <v>26</v>
      </c>
      <c r="K17" s="8" t="s">
        <v>27</v>
      </c>
      <c r="L17" s="9" t="s">
        <v>15</v>
      </c>
      <c r="M17" s="9" t="s">
        <v>16</v>
      </c>
      <c r="N17" s="9" t="s">
        <v>17</v>
      </c>
      <c r="O17" s="9" t="s">
        <v>18</v>
      </c>
    </row>
    <row r="18" spans="7:15" x14ac:dyDescent="0.25">
      <c r="G18" s="2">
        <v>1</v>
      </c>
      <c r="H18" s="5" t="s">
        <v>19</v>
      </c>
      <c r="I18" s="10">
        <v>6265</v>
      </c>
      <c r="J18" s="10">
        <v>6954</v>
      </c>
      <c r="K18" s="10">
        <v>7858</v>
      </c>
      <c r="L18" s="10">
        <f>SUM(I18:K18)</f>
        <v>21077</v>
      </c>
      <c r="M18" s="10">
        <f>MAX(I18:K18)</f>
        <v>7858</v>
      </c>
      <c r="N18" s="10">
        <f>MIN(I18:K18)</f>
        <v>6265</v>
      </c>
      <c r="O18" s="10">
        <f>AVERAGE(I18:K18)</f>
        <v>7025.666666666667</v>
      </c>
    </row>
    <row r="19" spans="7:15" x14ac:dyDescent="0.25">
      <c r="G19" s="2">
        <v>2</v>
      </c>
      <c r="H19" s="5" t="s">
        <v>20</v>
      </c>
      <c r="I19" s="10">
        <v>8701</v>
      </c>
      <c r="J19" s="10">
        <v>9658</v>
      </c>
      <c r="K19" s="10">
        <v>10197</v>
      </c>
      <c r="L19" s="10">
        <f t="shared" ref="L19:L23" si="7">SUM(I19:K19)</f>
        <v>28556</v>
      </c>
      <c r="M19" s="10">
        <f t="shared" ref="M19:M23" si="8">MAX(I19:K19)</f>
        <v>10197</v>
      </c>
      <c r="N19" s="10">
        <f t="shared" ref="N19:N23" si="9">MIN(I19:K19)</f>
        <v>8701</v>
      </c>
      <c r="O19" s="10">
        <f t="shared" ref="O19:O23" si="10">AVERAGE(I19:K19)</f>
        <v>9518.6666666666661</v>
      </c>
    </row>
    <row r="20" spans="7:15" x14ac:dyDescent="0.25">
      <c r="G20" s="2">
        <v>3</v>
      </c>
      <c r="H20" s="5" t="s">
        <v>21</v>
      </c>
      <c r="I20" s="10">
        <v>4569</v>
      </c>
      <c r="J20" s="10">
        <v>5099</v>
      </c>
      <c r="K20" s="10">
        <v>5769</v>
      </c>
      <c r="L20" s="10">
        <f t="shared" si="7"/>
        <v>15437</v>
      </c>
      <c r="M20" s="10">
        <f t="shared" si="8"/>
        <v>5769</v>
      </c>
      <c r="N20" s="10">
        <f t="shared" si="9"/>
        <v>4569</v>
      </c>
      <c r="O20" s="10">
        <f t="shared" si="10"/>
        <v>5145.666666666667</v>
      </c>
    </row>
    <row r="21" spans="7:15" x14ac:dyDescent="0.25">
      <c r="G21" s="2">
        <v>4</v>
      </c>
      <c r="H21" s="5" t="s">
        <v>22</v>
      </c>
      <c r="I21" s="10">
        <v>12341</v>
      </c>
      <c r="J21" s="10">
        <v>12365</v>
      </c>
      <c r="K21" s="10">
        <v>13969</v>
      </c>
      <c r="L21" s="10">
        <f t="shared" si="7"/>
        <v>38675</v>
      </c>
      <c r="M21" s="10">
        <f t="shared" si="8"/>
        <v>13969</v>
      </c>
      <c r="N21" s="10">
        <f t="shared" si="9"/>
        <v>12341</v>
      </c>
      <c r="O21" s="10">
        <f t="shared" si="10"/>
        <v>12891.666666666666</v>
      </c>
    </row>
    <row r="22" spans="7:15" x14ac:dyDescent="0.25">
      <c r="G22" s="2">
        <v>5</v>
      </c>
      <c r="H22" s="5" t="s">
        <v>23</v>
      </c>
      <c r="I22" s="10">
        <v>6344</v>
      </c>
      <c r="J22" s="10">
        <v>7042</v>
      </c>
      <c r="K22" s="10">
        <v>7957</v>
      </c>
      <c r="L22" s="10">
        <f t="shared" si="7"/>
        <v>21343</v>
      </c>
      <c r="M22" s="10">
        <f t="shared" si="8"/>
        <v>7957</v>
      </c>
      <c r="N22" s="10">
        <f t="shared" si="9"/>
        <v>6344</v>
      </c>
      <c r="O22" s="10">
        <f t="shared" si="10"/>
        <v>7114.333333333333</v>
      </c>
    </row>
    <row r="23" spans="7:15" x14ac:dyDescent="0.25">
      <c r="G23" s="2">
        <v>6</v>
      </c>
      <c r="H23" s="5" t="s">
        <v>24</v>
      </c>
      <c r="I23" s="10">
        <v>4525</v>
      </c>
      <c r="J23" s="10">
        <v>5022</v>
      </c>
      <c r="K23" s="10">
        <v>5671</v>
      </c>
      <c r="L23" s="10">
        <f t="shared" si="7"/>
        <v>15218</v>
      </c>
      <c r="M23" s="10">
        <f t="shared" si="8"/>
        <v>5671</v>
      </c>
      <c r="N23" s="10">
        <f t="shared" si="9"/>
        <v>4525</v>
      </c>
      <c r="O23" s="10">
        <f t="shared" si="10"/>
        <v>5072.666666666667</v>
      </c>
    </row>
    <row r="25" spans="7:15" x14ac:dyDescent="0.25">
      <c r="H25" s="8" t="s">
        <v>28</v>
      </c>
      <c r="I25" s="7">
        <f>SUM(I18:I23)</f>
        <v>42745</v>
      </c>
      <c r="J25" s="7">
        <f>SUM(J18:J23)</f>
        <v>46140</v>
      </c>
      <c r="K25" s="7">
        <f>SUM(K18:K23)</f>
        <v>51421</v>
      </c>
      <c r="L25" s="7">
        <f>SUM(L18:L23)</f>
        <v>140306</v>
      </c>
      <c r="M25" s="7">
        <f>SUM(M18:M23)</f>
        <v>51421</v>
      </c>
      <c r="N25" s="7">
        <f>SUM(N18:N23)</f>
        <v>42745</v>
      </c>
      <c r="O25" s="7">
        <f>SUM(O18:O23)</f>
        <v>46768.666666666664</v>
      </c>
    </row>
    <row r="27" spans="7:15" ht="18" customHeight="1" x14ac:dyDescent="0.25">
      <c r="H27" s="11" t="s">
        <v>29</v>
      </c>
      <c r="I27" s="12">
        <f>I15+I25</f>
        <v>72612</v>
      </c>
      <c r="J27" s="12">
        <f t="shared" ref="J27:O27" si="11">J15+J25</f>
        <v>79310</v>
      </c>
      <c r="K27" s="12">
        <f t="shared" si="11"/>
        <v>89117</v>
      </c>
      <c r="L27" s="12">
        <f t="shared" si="11"/>
        <v>241039</v>
      </c>
      <c r="M27" s="12">
        <f t="shared" si="11"/>
        <v>89117</v>
      </c>
      <c r="N27" s="12">
        <f t="shared" si="11"/>
        <v>72612</v>
      </c>
      <c r="O27" s="12">
        <f t="shared" si="11"/>
        <v>80346.333333333343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2026-03-06T14:03:45Z</dcterms:created>
  <dcterms:modified xsi:type="dcterms:W3CDTF">2026-03-06T15:17:16Z</dcterms:modified>
</cp:coreProperties>
</file>