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D5795866-358B-417B-A5CE-2CAE2E8DD765}" xr6:coauthVersionLast="36" xr6:coauthVersionMax="36" xr10:uidLastSave="{00000000-0000-0000-0000-000000000000}"/>
  <bookViews>
    <workbookView xWindow="0" yWindow="0" windowWidth="28800" windowHeight="12105" activeTab="6" xr2:uid="{58CD0BEE-7824-45DF-A032-8456D32F5D6B}"/>
  </bookViews>
  <sheets>
    <sheet name="Exercicio1" sheetId="1" r:id="rId1"/>
    <sheet name="Exercicio2" sheetId="2" r:id="rId2"/>
    <sheet name="Exercicio3" sheetId="3" r:id="rId3"/>
    <sheet name="Exercicio4" sheetId="4" r:id="rId4"/>
    <sheet name="Exercicio5" sheetId="5" r:id="rId5"/>
    <sheet name="Exercicio6" sheetId="6" r:id="rId6"/>
    <sheet name="Exercicio7" sheetId="7" r:id="rId7"/>
    <sheet name="Exercicio8" sheetId="8" r:id="rId8"/>
    <sheet name="Exercicio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7" l="1"/>
  <c r="B23" i="7"/>
  <c r="B22" i="7"/>
  <c r="B21" i="7"/>
  <c r="H6" i="6" l="1"/>
  <c r="H7" i="6"/>
  <c r="H8" i="6"/>
  <c r="H9" i="6"/>
  <c r="H10" i="6"/>
  <c r="H11" i="6"/>
  <c r="H12" i="6"/>
  <c r="H5" i="6"/>
  <c r="G10" i="6"/>
  <c r="G6" i="6"/>
  <c r="G7" i="6"/>
  <c r="G8" i="6"/>
  <c r="G9" i="6"/>
  <c r="G11" i="6"/>
  <c r="G12" i="6"/>
  <c r="G5" i="6"/>
  <c r="E21" i="5"/>
  <c r="F21" i="5"/>
  <c r="G21" i="5"/>
  <c r="H21" i="5"/>
  <c r="F19" i="5"/>
  <c r="F20" i="5" s="1"/>
  <c r="G19" i="5"/>
  <c r="G20" i="5" s="1"/>
  <c r="H19" i="5"/>
  <c r="H20" i="5" s="1"/>
  <c r="E19" i="5"/>
  <c r="E20" i="5" s="1"/>
  <c r="I12" i="5"/>
  <c r="I13" i="5"/>
  <c r="I14" i="5"/>
  <c r="I15" i="5"/>
  <c r="I16" i="5"/>
  <c r="I11" i="5"/>
  <c r="I22" i="5" s="1"/>
  <c r="I8" i="5"/>
  <c r="I13" i="4"/>
  <c r="I12" i="4"/>
  <c r="I11" i="4"/>
  <c r="I10" i="4"/>
  <c r="I9" i="4"/>
  <c r="I8" i="4"/>
  <c r="I7" i="4"/>
  <c r="H9" i="4"/>
  <c r="H8" i="4"/>
  <c r="H10" i="4"/>
  <c r="H11" i="4"/>
  <c r="H12" i="4"/>
  <c r="H13" i="4"/>
  <c r="H7" i="4"/>
  <c r="I8" i="3"/>
  <c r="I9" i="3"/>
  <c r="I10" i="3"/>
  <c r="I11" i="3"/>
  <c r="I12" i="3"/>
  <c r="I13" i="3"/>
  <c r="I14" i="3"/>
  <c r="I7" i="3"/>
  <c r="H8" i="3"/>
  <c r="H9" i="3"/>
  <c r="H10" i="3"/>
  <c r="H11" i="3"/>
  <c r="H12" i="3"/>
  <c r="H13" i="3"/>
  <c r="H14" i="3"/>
  <c r="H7" i="3"/>
  <c r="G8" i="3"/>
  <c r="G9" i="3"/>
  <c r="G10" i="3"/>
  <c r="G11" i="3"/>
  <c r="G12" i="3"/>
  <c r="G13" i="3"/>
  <c r="G14" i="3"/>
  <c r="G7" i="3"/>
  <c r="K18" i="2"/>
  <c r="I18" i="2"/>
  <c r="J18" i="2"/>
  <c r="L18" i="2"/>
  <c r="M18" i="2"/>
  <c r="H18" i="2"/>
  <c r="I16" i="2"/>
  <c r="J16" i="2"/>
  <c r="K16" i="2"/>
  <c r="L16" i="2"/>
  <c r="M16" i="2"/>
  <c r="H16" i="2"/>
  <c r="K15" i="9"/>
  <c r="K21" i="9"/>
  <c r="J24" i="9"/>
  <c r="K24" i="9"/>
  <c r="G24" i="9"/>
  <c r="H24" i="9"/>
  <c r="I24" i="9"/>
  <c r="L24" i="9"/>
  <c r="F24" i="9"/>
  <c r="L23" i="9"/>
  <c r="L22" i="9"/>
  <c r="L21" i="9"/>
  <c r="L20" i="9"/>
  <c r="L19" i="9"/>
  <c r="L18" i="9"/>
  <c r="L17" i="9"/>
  <c r="L16" i="9"/>
  <c r="L15" i="9"/>
  <c r="L14" i="9"/>
  <c r="L13" i="9"/>
  <c r="K23" i="9"/>
  <c r="K22" i="9"/>
  <c r="K20" i="9"/>
  <c r="K19" i="9"/>
  <c r="K18" i="9"/>
  <c r="K17" i="9"/>
  <c r="K16" i="9"/>
  <c r="K14" i="9"/>
  <c r="K13" i="9"/>
  <c r="J23" i="9"/>
  <c r="J22" i="9"/>
  <c r="J21" i="9"/>
  <c r="J20" i="9"/>
  <c r="J19" i="9"/>
  <c r="J17" i="9"/>
  <c r="J16" i="9"/>
  <c r="J15" i="9"/>
  <c r="J14" i="9"/>
  <c r="J18" i="9"/>
  <c r="J13" i="9"/>
  <c r="I14" i="9"/>
  <c r="I15" i="9"/>
  <c r="I16" i="9"/>
  <c r="I17" i="9"/>
  <c r="I18" i="9"/>
  <c r="I19" i="9"/>
  <c r="I20" i="9"/>
  <c r="I21" i="9"/>
  <c r="I22" i="9"/>
  <c r="I23" i="9"/>
  <c r="I13" i="9"/>
  <c r="K25" i="1"/>
  <c r="J25" i="1"/>
  <c r="I25" i="1"/>
  <c r="O19" i="1"/>
  <c r="O20" i="1"/>
  <c r="O21" i="1"/>
  <c r="O22" i="1"/>
  <c r="O23" i="1"/>
  <c r="O18" i="1"/>
  <c r="O25" i="1" s="1"/>
  <c r="N19" i="1"/>
  <c r="N20" i="1"/>
  <c r="N21" i="1"/>
  <c r="N22" i="1"/>
  <c r="N23" i="1"/>
  <c r="N18" i="1"/>
  <c r="N25" i="1" s="1"/>
  <c r="M19" i="1"/>
  <c r="M20" i="1"/>
  <c r="M21" i="1"/>
  <c r="M22" i="1"/>
  <c r="M23" i="1"/>
  <c r="M18" i="1"/>
  <c r="M25" i="1" s="1"/>
  <c r="L19" i="1"/>
  <c r="L20" i="1"/>
  <c r="L21" i="1"/>
  <c r="L22" i="1"/>
  <c r="L23" i="1"/>
  <c r="L18" i="1"/>
  <c r="L25" i="1" s="1"/>
  <c r="M3" i="1"/>
  <c r="M4" i="1"/>
  <c r="M2" i="1"/>
  <c r="L3" i="1"/>
  <c r="L4" i="1"/>
  <c r="L2" i="1"/>
  <c r="K3" i="1"/>
  <c r="K4" i="1"/>
  <c r="K2" i="1"/>
  <c r="J15" i="1"/>
  <c r="J27" i="1" s="1"/>
  <c r="K15" i="1"/>
  <c r="K27" i="1" s="1"/>
  <c r="I15" i="1"/>
  <c r="I27" i="1" s="1"/>
  <c r="O9" i="1"/>
  <c r="O10" i="1"/>
  <c r="O11" i="1"/>
  <c r="O12" i="1"/>
  <c r="O13" i="1"/>
  <c r="O8" i="1"/>
  <c r="O15" i="1" s="1"/>
  <c r="O27" i="1" s="1"/>
  <c r="N13" i="1"/>
  <c r="N9" i="1"/>
  <c r="N10" i="1"/>
  <c r="N11" i="1"/>
  <c r="N12" i="1"/>
  <c r="N8" i="1"/>
  <c r="M11" i="1"/>
  <c r="M9" i="1"/>
  <c r="M10" i="1"/>
  <c r="M12" i="1"/>
  <c r="M13" i="1"/>
  <c r="M8" i="1"/>
  <c r="M15" i="1" s="1"/>
  <c r="M27" i="1" s="1"/>
  <c r="L9" i="1"/>
  <c r="L10" i="1"/>
  <c r="L11" i="1"/>
  <c r="L12" i="1"/>
  <c r="L13" i="1"/>
  <c r="L8" i="1"/>
  <c r="J2" i="1"/>
  <c r="J3" i="1"/>
  <c r="J4" i="1"/>
  <c r="B14" i="1"/>
  <c r="B13" i="1"/>
  <c r="B12" i="1"/>
  <c r="L15" i="1" l="1"/>
  <c r="L27" i="1" s="1"/>
  <c r="N15" i="1"/>
  <c r="N27" i="1" s="1"/>
</calcChain>
</file>

<file path=xl/sharedStrings.xml><?xml version="1.0" encoding="utf-8"?>
<sst xmlns="http://schemas.openxmlformats.org/spreadsheetml/2006/main" count="339" uniqueCount="226">
  <si>
    <t>Claudio lima</t>
  </si>
  <si>
    <t>Ana</t>
  </si>
  <si>
    <t>Pedro</t>
  </si>
  <si>
    <t>Nota01</t>
  </si>
  <si>
    <t>Nota02</t>
  </si>
  <si>
    <t>Soma</t>
  </si>
  <si>
    <t>Nome do aluno</t>
  </si>
  <si>
    <t>Média</t>
  </si>
  <si>
    <t>Máximo</t>
  </si>
  <si>
    <t>Mínimo</t>
  </si>
  <si>
    <t>CÓDIGO</t>
  </si>
  <si>
    <t>PRODUTO</t>
  </si>
  <si>
    <t>JAN</t>
  </si>
  <si>
    <t>FEV</t>
  </si>
  <si>
    <t>MAR</t>
  </si>
  <si>
    <t>TOTAL 1ºTRIM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</si>
  <si>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</si>
  <si>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</si>
  <si>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</si>
  <si>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</si>
  <si>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</si>
  <si>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</si>
  <si>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</si>
  <si>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</si>
  <si>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</si>
  <si>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ABR</t>
  </si>
  <si>
    <t>MAI</t>
  </si>
  <si>
    <t>JUN</t>
  </si>
  <si>
    <t>TOTAIS</t>
  </si>
  <si>
    <t>TOTAIS DO SEMESTRE</t>
  </si>
  <si>
    <t xml:space="preserve">CONTAS A PAGAR </t>
  </si>
  <si>
    <t xml:space="preserve"> </t>
  </si>
  <si>
    <t xml:space="preserve">         </t>
  </si>
  <si>
    <t xml:space="preserve">JANEIRO </t>
  </si>
  <si>
    <t xml:space="preserve">FEVEREIRO </t>
  </si>
  <si>
    <t xml:space="preserve">MARÇO </t>
  </si>
  <si>
    <t xml:space="preserve">ABRIL </t>
  </si>
  <si>
    <t xml:space="preserve">MAIO </t>
  </si>
  <si>
    <t xml:space="preserve">JUNHO </t>
  </si>
  <si>
    <t xml:space="preserve">SALÁRIO </t>
  </si>
  <si>
    <t xml:space="preserve">CONTAS </t>
  </si>
  <si>
    <t xml:space="preserve">ÁGUA </t>
  </si>
  <si>
    <t xml:space="preserve">LUZ </t>
  </si>
  <si>
    <t xml:space="preserve">ESCOLA </t>
  </si>
  <si>
    <t xml:space="preserve">IPTU </t>
  </si>
  <si>
    <t xml:space="preserve">IPVA </t>
  </si>
  <si>
    <t xml:space="preserve">SHOPPING </t>
  </si>
  <si>
    <t xml:space="preserve">COMBUSTÍVEL </t>
  </si>
  <si>
    <t xml:space="preserve">ACADEMIA </t>
  </si>
  <si>
    <t xml:space="preserve">TOTAL DE CONTAS </t>
  </si>
  <si>
    <t xml:space="preserve">SALDO </t>
  </si>
  <si>
    <t xml:space="preserve">Nº </t>
  </si>
  <si>
    <t xml:space="preserve">NOME </t>
  </si>
  <si>
    <t xml:space="preserve">Salário Bruto </t>
  </si>
  <si>
    <t xml:space="preserve">INSS </t>
  </si>
  <si>
    <t xml:space="preserve">Gratificação </t>
  </si>
  <si>
    <t xml:space="preserve">INSS R$ </t>
  </si>
  <si>
    <t xml:space="preserve">Gratificação R$ </t>
  </si>
  <si>
    <t xml:space="preserve">Salário Líquido </t>
  </si>
  <si>
    <t xml:space="preserve">Eduardo </t>
  </si>
  <si>
    <t xml:space="preserve">Maria  </t>
  </si>
  <si>
    <t xml:space="preserve">Helena </t>
  </si>
  <si>
    <t xml:space="preserve">Gabriela </t>
  </si>
  <si>
    <t xml:space="preserve">Edson </t>
  </si>
  <si>
    <t xml:space="preserve">Elisangela </t>
  </si>
  <si>
    <t xml:space="preserve">Regina </t>
  </si>
  <si>
    <t xml:space="preserve">Paulo </t>
  </si>
  <si>
    <t>ARARAS INFORMATICA HARDWARE E SOFTWARE</t>
  </si>
  <si>
    <t xml:space="preserve">Valor do Dólar </t>
  </si>
  <si>
    <t xml:space="preserve">Papelaria Papel Branco   </t>
  </si>
  <si>
    <t xml:space="preserve">Produtos </t>
  </si>
  <si>
    <t xml:space="preserve">Qtde </t>
  </si>
  <si>
    <t xml:space="preserve">Preço Unit. </t>
  </si>
  <si>
    <t xml:space="preserve">Total R$ </t>
  </si>
  <si>
    <t xml:space="preserve">Total US$ </t>
  </si>
  <si>
    <t xml:space="preserve">Caneta Azul </t>
  </si>
  <si>
    <t xml:space="preserve">Caneta Vermelha </t>
  </si>
  <si>
    <t xml:space="preserve">Caderno </t>
  </si>
  <si>
    <t xml:space="preserve">Régua </t>
  </si>
  <si>
    <t xml:space="preserve">Lápis </t>
  </si>
  <si>
    <t xml:space="preserve">Papel Sulfite </t>
  </si>
  <si>
    <t xml:space="preserve">Tinta Nanquim </t>
  </si>
  <si>
    <r>
      <t xml:space="preserve"> </t>
    </r>
    <r>
      <rPr>
        <b/>
        <sz val="9.5"/>
        <color rgb="FF000000"/>
        <rFont val="Arial"/>
        <family val="2"/>
      </rPr>
      <t xml:space="preserve">Projeção para o ano de 2003 </t>
    </r>
  </si>
  <si>
    <t xml:space="preserve">Receita bruta </t>
  </si>
  <si>
    <t xml:space="preserve">Jan-Mar </t>
  </si>
  <si>
    <t xml:space="preserve">Abr-Jun </t>
  </si>
  <si>
    <t xml:space="preserve">Jul-Set </t>
  </si>
  <si>
    <t xml:space="preserve">Out-Dez </t>
  </si>
  <si>
    <t xml:space="preserve">Total do Ano </t>
  </si>
  <si>
    <t xml:space="preserve">Despesa Líquida </t>
  </si>
  <si>
    <t xml:space="preserve">Salários </t>
  </si>
  <si>
    <t xml:space="preserve">Juros </t>
  </si>
  <si>
    <t xml:space="preserve">Aluguel </t>
  </si>
  <si>
    <t xml:space="preserve">Propaganda </t>
  </si>
  <si>
    <t xml:space="preserve">Suprimentos </t>
  </si>
  <si>
    <t xml:space="preserve">Diversos </t>
  </si>
  <si>
    <t xml:space="preserve">Total do Trim. </t>
  </si>
  <si>
    <t xml:space="preserve">Receita líquida </t>
  </si>
  <si>
    <t xml:space="preserve">Situação </t>
  </si>
  <si>
    <t xml:space="preserve">Valor Acumulado do ano de despesas </t>
  </si>
  <si>
    <t>PROJEÇÃO PARA O ANO DE 2003</t>
  </si>
  <si>
    <t xml:space="preserve">Nome </t>
  </si>
  <si>
    <t xml:space="preserve">Salário </t>
  </si>
  <si>
    <t xml:space="preserve">Aumento </t>
  </si>
  <si>
    <t xml:space="preserve">Novo Salário </t>
  </si>
  <si>
    <t xml:space="preserve">João dos Santos </t>
  </si>
  <si>
    <t xml:space="preserve">Maria da Silva </t>
  </si>
  <si>
    <t xml:space="preserve">Manoel das Flores </t>
  </si>
  <si>
    <t xml:space="preserve">Lambarildo Peixe </t>
  </si>
  <si>
    <t xml:space="preserve">Sebastião Souza </t>
  </si>
  <si>
    <t xml:space="preserve">Ana Flávia Silveira </t>
  </si>
  <si>
    <t xml:space="preserve">Silvia Helena Santos </t>
  </si>
  <si>
    <t xml:space="preserve">Alberto Roberto </t>
  </si>
  <si>
    <t xml:space="preserve">Até 1000,00 </t>
  </si>
  <si>
    <t xml:space="preserve">mais 1000,00 </t>
  </si>
  <si>
    <t>FOLHA DE PAGAMENTO</t>
  </si>
  <si>
    <t xml:space="preserve">Endereço </t>
  </si>
  <si>
    <t xml:space="preserve">Bairro </t>
  </si>
  <si>
    <t xml:space="preserve">Cidade </t>
  </si>
  <si>
    <t xml:space="preserve">Estado </t>
  </si>
  <si>
    <t xml:space="preserve">Ana </t>
  </si>
  <si>
    <t xml:space="preserve">Rodovia Anhanguera, km 180  </t>
  </si>
  <si>
    <t xml:space="preserve">Centro  </t>
  </si>
  <si>
    <t xml:space="preserve">Leme  </t>
  </si>
  <si>
    <t xml:space="preserve">SP  </t>
  </si>
  <si>
    <t xml:space="preserve">R. Antônio de Castro, 362 </t>
  </si>
  <si>
    <t xml:space="preserve">São Benedito </t>
  </si>
  <si>
    <t xml:space="preserve">Araras </t>
  </si>
  <si>
    <t xml:space="preserve">SP </t>
  </si>
  <si>
    <t xml:space="preserve">Érica </t>
  </si>
  <si>
    <t xml:space="preserve">R. Tiradentes, 123 </t>
  </si>
  <si>
    <t xml:space="preserve">Centro </t>
  </si>
  <si>
    <t xml:space="preserve">Salvador  </t>
  </si>
  <si>
    <t xml:space="preserve">BA </t>
  </si>
  <si>
    <t xml:space="preserve">Fernanda </t>
  </si>
  <si>
    <t xml:space="preserve">Av. Orozimbo Maia, 987 </t>
  </si>
  <si>
    <t xml:space="preserve">Jd. Nova Campinas </t>
  </si>
  <si>
    <t xml:space="preserve">Campinas </t>
  </si>
  <si>
    <t xml:space="preserve">Rodovia Rio/São Paulo, km 77  </t>
  </si>
  <si>
    <t xml:space="preserve">Praia Grande  </t>
  </si>
  <si>
    <t xml:space="preserve">Ubatuba  </t>
  </si>
  <si>
    <t xml:space="preserve">R. Júlio Mesquita, 66  </t>
  </si>
  <si>
    <t xml:space="preserve">Recife </t>
  </si>
  <si>
    <t xml:space="preserve">PE </t>
  </si>
  <si>
    <t xml:space="preserve">Katiane </t>
  </si>
  <si>
    <t xml:space="preserve">R. 5, 78  </t>
  </si>
  <si>
    <t xml:space="preserve">Jd. Europa  </t>
  </si>
  <si>
    <t xml:space="preserve">Rio Claro  </t>
  </si>
  <si>
    <t xml:space="preserve">Lilian </t>
  </si>
  <si>
    <t xml:space="preserve">R. Lambarildo Peixe, 812 </t>
  </si>
  <si>
    <t xml:space="preserve">Vila Tubarão </t>
  </si>
  <si>
    <t xml:space="preserve">Ribeirão Preto </t>
  </si>
  <si>
    <t xml:space="preserve">Lucimara </t>
  </si>
  <si>
    <t xml:space="preserve">Av. dos Jequitibas, 11 </t>
  </si>
  <si>
    <t xml:space="preserve">Jd. Paulista </t>
  </si>
  <si>
    <t xml:space="preserve">Florianópolis </t>
  </si>
  <si>
    <t xml:space="preserve">SC </t>
  </si>
  <si>
    <t xml:space="preserve">Maria </t>
  </si>
  <si>
    <t xml:space="preserve">Av. Ipiranga, 568  </t>
  </si>
  <si>
    <t xml:space="preserve">Ibirapuera  </t>
  </si>
  <si>
    <t xml:space="preserve">Manaus </t>
  </si>
  <si>
    <t xml:space="preserve">AM </t>
  </si>
  <si>
    <t xml:space="preserve">Pedro </t>
  </si>
  <si>
    <t xml:space="preserve">R. Sergipe, 765 </t>
  </si>
  <si>
    <t xml:space="preserve">Botafogo </t>
  </si>
  <si>
    <t xml:space="preserve">Roberto </t>
  </si>
  <si>
    <t xml:space="preserve">Av. Limeira, 98 </t>
  </si>
  <si>
    <t xml:space="preserve">Belvedere </t>
  </si>
  <si>
    <t xml:space="preserve">Rubens </t>
  </si>
  <si>
    <t xml:space="preserve">Al. dos Laranjais, 99  </t>
  </si>
  <si>
    <t xml:space="preserve">Rio de Janeiro  </t>
  </si>
  <si>
    <t xml:space="preserve">RJ </t>
  </si>
  <si>
    <t xml:space="preserve">Sônia </t>
  </si>
  <si>
    <t xml:space="preserve">R. das Quaresmeiras, 810  </t>
  </si>
  <si>
    <t xml:space="preserve">Vila Cláudia  </t>
  </si>
  <si>
    <t xml:space="preserve">Porto Alegre  </t>
  </si>
  <si>
    <t xml:space="preserve">RS </t>
  </si>
  <si>
    <t xml:space="preserve">Tatiane </t>
  </si>
  <si>
    <t xml:space="preserve">R. Minas Gerais, 67  </t>
  </si>
  <si>
    <t xml:space="preserve">Parque Industrial  </t>
  </si>
  <si>
    <t xml:space="preserve">Poços de Caldas  </t>
  </si>
  <si>
    <t xml:space="preserve">MG </t>
  </si>
  <si>
    <t xml:space="preserve">A </t>
  </si>
  <si>
    <t xml:space="preserve">B </t>
  </si>
  <si>
    <t xml:space="preserve">C </t>
  </si>
  <si>
    <t xml:space="preserve">D </t>
  </si>
  <si>
    <t xml:space="preserve">     </t>
  </si>
  <si>
    <r>
      <t xml:space="preserve">  </t>
    </r>
    <r>
      <rPr>
        <u/>
        <sz val="10.5"/>
        <color rgb="FF000000"/>
        <rFont val="Times New Roman"/>
        <family val="1"/>
      </rPr>
      <t xml:space="preserve">   </t>
    </r>
  </si>
  <si>
    <t xml:space="preserve">Segunda-Feira </t>
  </si>
  <si>
    <t xml:space="preserve">Terça-Feira </t>
  </si>
  <si>
    <t xml:space="preserve">Quarta-Feira </t>
  </si>
  <si>
    <t xml:space="preserve">Quinta-Feira </t>
  </si>
  <si>
    <t xml:space="preserve">Sexta-Feira </t>
  </si>
  <si>
    <t xml:space="preserve">DIAS DA SEMANA </t>
  </si>
  <si>
    <t xml:space="preserve">Bolsa de Valores </t>
  </si>
  <si>
    <t xml:space="preserve">Relação de Movimentação Financeira da Semana </t>
  </si>
  <si>
    <t>E</t>
  </si>
  <si>
    <t>VALOR MÁXIMO</t>
  </si>
  <si>
    <t>VALOR MINIMO</t>
  </si>
  <si>
    <t>FECHAMENTO</t>
  </si>
  <si>
    <t>ABERTURA DO PREGÃO</t>
  </si>
  <si>
    <t xml:space="preserve">Tabela de Preços </t>
  </si>
  <si>
    <t xml:space="preserve">Porc. De Lucro </t>
  </si>
  <si>
    <t xml:space="preserve">Valor do Dólar: </t>
  </si>
  <si>
    <t xml:space="preserve">Produto </t>
  </si>
  <si>
    <t xml:space="preserve">  Estoque </t>
  </si>
  <si>
    <t xml:space="preserve">    Custo </t>
  </si>
  <si>
    <t xml:space="preserve">   Venda </t>
  </si>
  <si>
    <t xml:space="preserve">    Total </t>
  </si>
  <si>
    <t xml:space="preserve">   Custo </t>
  </si>
  <si>
    <t xml:space="preserve">      Venda </t>
  </si>
  <si>
    <t xml:space="preserve">     Total </t>
  </si>
  <si>
    <t xml:space="preserve">Borracha </t>
  </si>
  <si>
    <t xml:space="preserve">Caderno 100 fls </t>
  </si>
  <si>
    <t xml:space="preserve">Caderno 200 fls </t>
  </si>
  <si>
    <t xml:space="preserve">Lapiseira </t>
  </si>
  <si>
    <t xml:space="preserve">Régua 15 cm </t>
  </si>
  <si>
    <t xml:space="preserve">Régua 30 cm </t>
  </si>
  <si>
    <t xml:space="preserve">Giz de Cera </t>
  </si>
  <si>
    <t xml:space="preserve">Cola </t>
  </si>
  <si>
    <t xml:space="preserve">Compasso </t>
  </si>
  <si>
    <t xml:space="preserve">Totais </t>
  </si>
  <si>
    <t xml:space="preserve"> DOLAR</t>
  </si>
  <si>
    <t xml:space="preserve">REAIS </t>
  </si>
  <si>
    <t xml:space="preserve">Empresa Papelaria Livro Caro    </t>
  </si>
  <si>
    <r>
      <t xml:space="preserve">Rubens   </t>
    </r>
    <r>
      <rPr>
        <b/>
        <sz val="9.5"/>
        <color rgb="FF000000"/>
        <rFont val="Arial"/>
        <family val="2"/>
      </rPr>
      <t xml:space="preserve">  </t>
    </r>
    <r>
      <rPr>
        <sz val="9.5"/>
        <color rgb="FF000000"/>
        <rFont val="Arial"/>
        <family val="2"/>
      </rPr>
      <t xml:space="preserve">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</si>
</sst>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.5"/>
      <color rgb="FF000000"/>
      <name val="Times New Roman"/>
      <family val="1"/>
    </font>
    <font>
      <sz val="9.5"/>
      <color rgb="FF000000"/>
      <name val="Arial"/>
      <family val="2"/>
    </font>
    <font>
      <sz val="11.5"/>
      <color rgb="FF000000"/>
      <name val="Arial"/>
      <family val="2"/>
    </font>
    <font>
      <b/>
      <sz val="9.5"/>
      <color rgb="FF000000"/>
      <name val="Arial"/>
      <family val="2"/>
    </font>
    <font>
      <b/>
      <sz val="11.5"/>
      <color rgb="FF000000"/>
      <name val="Times New Roman"/>
      <family val="1"/>
    </font>
    <font>
      <sz val="10.5"/>
      <color rgb="FF000000"/>
      <name val="Times New Roman"/>
      <family val="1"/>
    </font>
    <font>
      <b/>
      <sz val="10.5"/>
      <color rgb="FF000000"/>
      <name val="Times New Roman"/>
      <family val="1"/>
    </font>
    <font>
      <u/>
      <sz val="10.5"/>
      <color rgb="FF000000"/>
      <name val="Times New Roman"/>
      <family val="1"/>
    </font>
    <font>
      <b/>
      <sz val="9.5"/>
      <color rgb="FF000000"/>
      <name val="Times New Roman"/>
      <family val="1"/>
    </font>
    <font>
      <sz val="9.5"/>
      <color rgb="FF000000"/>
      <name val="Times New Roman"/>
      <family val="1"/>
    </font>
    <font>
      <u/>
      <sz val="9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/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6" xfId="0" applyFont="1" applyBorder="1" applyAlignment="1">
      <alignment vertical="center" wrapText="1"/>
    </xf>
    <xf numFmtId="8" fontId="4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left" vertical="center"/>
    </xf>
    <xf numFmtId="8" fontId="4" fillId="0" borderId="1" xfId="0" applyNumberFormat="1" applyFont="1" applyBorder="1" applyAlignment="1">
      <alignment vertical="center"/>
    </xf>
    <xf numFmtId="10" fontId="4" fillId="0" borderId="1" xfId="0" applyNumberFormat="1" applyFont="1" applyBorder="1" applyAlignment="1">
      <alignment horizontal="right" vertical="center"/>
    </xf>
    <xf numFmtId="8" fontId="4" fillId="0" borderId="9" xfId="0" applyNumberFormat="1" applyFont="1" applyBorder="1" applyAlignment="1">
      <alignment horizontal="justify"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6" xfId="0" applyFont="1" applyBorder="1" applyAlignment="1">
      <alignment horizontal="justify" vertical="center" wrapText="1"/>
    </xf>
    <xf numFmtId="0" fontId="5" fillId="0" borderId="0" xfId="0" applyFont="1"/>
    <xf numFmtId="0" fontId="4" fillId="0" borderId="0" xfId="0" applyFont="1" applyAlignment="1">
      <alignment horizontal="left" vertical="center" indent="11"/>
    </xf>
    <xf numFmtId="0" fontId="4" fillId="0" borderId="0" xfId="0" applyFont="1" applyBorder="1" applyAlignment="1">
      <alignment horizontal="left" vertical="center" indent="1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4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right" vertical="center" wrapText="1" indent="1"/>
    </xf>
    <xf numFmtId="4" fontId="4" fillId="0" borderId="1" xfId="0" applyNumberFormat="1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9" fontId="4" fillId="0" borderId="1" xfId="0" applyNumberFormat="1" applyFont="1" applyBorder="1" applyAlignment="1">
      <alignment horizontal="right" vertical="center" wrapText="1"/>
    </xf>
    <xf numFmtId="8" fontId="4" fillId="0" borderId="1" xfId="0" applyNumberFormat="1" applyFont="1" applyBorder="1" applyAlignment="1">
      <alignment horizontal="left" vertical="center" wrapText="1" indent="1"/>
    </xf>
    <xf numFmtId="0" fontId="6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horizontal="justify" vertical="center" wrapText="1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8" fillId="0" borderId="1" xfId="0" applyNumberFormat="1" applyFont="1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center" wrapText="1"/>
    </xf>
    <xf numFmtId="0" fontId="8" fillId="0" borderId="13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10" fontId="12" fillId="0" borderId="9" xfId="0" applyNumberFormat="1" applyFont="1" applyBorder="1" applyAlignment="1">
      <alignment horizontal="right" vertical="center" wrapText="1"/>
    </xf>
    <xf numFmtId="0" fontId="11" fillId="0" borderId="6" xfId="0" applyFont="1" applyBorder="1" applyAlignment="1">
      <alignment vertical="center" wrapText="1"/>
    </xf>
    <xf numFmtId="0" fontId="12" fillId="0" borderId="7" xfId="0" applyFont="1" applyBorder="1" applyAlignment="1">
      <alignment horizontal="right"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horizontal="righ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10" fontId="12" fillId="0" borderId="1" xfId="0" applyNumberFormat="1" applyFont="1" applyBorder="1" applyAlignment="1">
      <alignment horizontal="right" vertical="center" wrapText="1"/>
    </xf>
    <xf numFmtId="9" fontId="12" fillId="0" borderId="1" xfId="2" applyFont="1" applyBorder="1" applyAlignment="1">
      <alignment horizontal="right" vertical="center" wrapText="1"/>
    </xf>
    <xf numFmtId="44" fontId="12" fillId="0" borderId="1" xfId="1" applyFont="1" applyBorder="1" applyAlignment="1">
      <alignment horizontal="right" vertical="center" wrapText="1"/>
    </xf>
    <xf numFmtId="9" fontId="0" fillId="0" borderId="0" xfId="2" applyFont="1"/>
    <xf numFmtId="8" fontId="4" fillId="0" borderId="1" xfId="0" applyNumberFormat="1" applyFont="1" applyBorder="1" applyAlignment="1">
      <alignment vertical="center" wrapText="1"/>
    </xf>
    <xf numFmtId="8" fontId="4" fillId="0" borderId="1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/>
    </xf>
    <xf numFmtId="8" fontId="4" fillId="0" borderId="1" xfId="0" applyNumberFormat="1" applyFont="1" applyBorder="1" applyAlignment="1">
      <alignment horizontal="right" vertical="center" wrapText="1"/>
    </xf>
    <xf numFmtId="8" fontId="4" fillId="0" borderId="1" xfId="0" applyNumberFormat="1" applyFont="1" applyBorder="1" applyAlignment="1">
      <alignment horizontal="right" vertical="center"/>
    </xf>
    <xf numFmtId="8" fontId="3" fillId="0" borderId="1" xfId="0" applyNumberFormat="1" applyFont="1" applyBorder="1" applyAlignment="1">
      <alignment vertical="center"/>
    </xf>
    <xf numFmtId="8" fontId="4" fillId="0" borderId="7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left" vertical="center" wrapText="1" indent="1"/>
    </xf>
    <xf numFmtId="4" fontId="3" fillId="0" borderId="1" xfId="0" applyNumberFormat="1" applyFont="1" applyBorder="1" applyAlignment="1">
      <alignment vertical="center" wrapText="1"/>
    </xf>
    <xf numFmtId="2" fontId="4" fillId="0" borderId="1" xfId="1" applyNumberFormat="1" applyFont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SEMANAL</a:t>
            </a:r>
          </a:p>
        </c:rich>
      </c:tx>
      <c:layout>
        <c:manualLayout>
          <c:xMode val="edge"/>
          <c:yMode val="edge"/>
          <c:x val="0.3437637795275590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007766886282075"/>
          <c:y val="0.13068978094359457"/>
          <c:w val="0.75312132757598849"/>
          <c:h val="0.5049650149663496"/>
        </c:manualLayout>
      </c:layout>
      <c:barChart>
        <c:barDir val="col"/>
        <c:grouping val="clustered"/>
        <c:varyColors val="0"/>
        <c:ser>
          <c:idx val="0"/>
          <c:order val="0"/>
          <c:tx>
            <c:v>Valor Máximo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Exercicio8!$F$14:$F$18</c:f>
              <c:strCache>
                <c:ptCount val="5"/>
                <c:pt idx="0">
                  <c:v>Segunda-Feira </c:v>
                </c:pt>
                <c:pt idx="1">
                  <c:v>Terça-Feira </c:v>
                </c:pt>
                <c:pt idx="2">
                  <c:v>Quarta-Feira </c:v>
                </c:pt>
                <c:pt idx="3">
                  <c:v>Quinta-Feira </c:v>
                </c:pt>
                <c:pt idx="4">
                  <c:v>Sexta-Feira </c:v>
                </c:pt>
              </c:strCache>
            </c:strRef>
          </c:cat>
          <c:val>
            <c:numRef>
              <c:f>Exercicio8!$G$14:$G$18</c:f>
              <c:numCache>
                <c:formatCode>#,##0.00</c:formatCode>
                <c:ptCount val="5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4E-47F2-89BA-92D2BEED9434}"/>
            </c:ext>
          </c:extLst>
        </c:ser>
        <c:ser>
          <c:idx val="1"/>
          <c:order val="1"/>
          <c:tx>
            <c:v>Valor Mínimo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Exercicio8!$F$14:$F$18</c:f>
              <c:strCache>
                <c:ptCount val="5"/>
                <c:pt idx="0">
                  <c:v>Segunda-Feira </c:v>
                </c:pt>
                <c:pt idx="1">
                  <c:v>Terça-Feira </c:v>
                </c:pt>
                <c:pt idx="2">
                  <c:v>Quarta-Feira </c:v>
                </c:pt>
                <c:pt idx="3">
                  <c:v>Quinta-Feira </c:v>
                </c:pt>
                <c:pt idx="4">
                  <c:v>Sexta-Feira </c:v>
                </c:pt>
              </c:strCache>
            </c:strRef>
          </c:cat>
          <c:val>
            <c:numRef>
              <c:f>Exercicio8!$H$14:$H$18</c:f>
              <c:numCache>
                <c:formatCode>#,##0.00</c:formatCode>
                <c:ptCount val="5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4E-47F2-89BA-92D2BEED9434}"/>
            </c:ext>
          </c:extLst>
        </c:ser>
        <c:ser>
          <c:idx val="2"/>
          <c:order val="2"/>
          <c:tx>
            <c:v>Fechamento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Exercicio8!$F$14:$F$18</c:f>
              <c:strCache>
                <c:ptCount val="5"/>
                <c:pt idx="0">
                  <c:v>Segunda-Feira </c:v>
                </c:pt>
                <c:pt idx="1">
                  <c:v>Terça-Feira </c:v>
                </c:pt>
                <c:pt idx="2">
                  <c:v>Quarta-Feira </c:v>
                </c:pt>
                <c:pt idx="3">
                  <c:v>Quinta-Feira </c:v>
                </c:pt>
                <c:pt idx="4">
                  <c:v>Sexta-Feira </c:v>
                </c:pt>
              </c:strCache>
            </c:strRef>
          </c:cat>
          <c:val>
            <c:numRef>
              <c:f>Exercicio8!$I$14:$I$18</c:f>
              <c:numCache>
                <c:formatCode>#,##0.00</c:formatCode>
                <c:ptCount val="5"/>
                <c:pt idx="0">
                  <c:v>23900.799999999999</c:v>
                </c:pt>
                <c:pt idx="1">
                  <c:v>24019</c:v>
                </c:pt>
                <c:pt idx="2">
                  <c:v>24139.599999999999</c:v>
                </c:pt>
                <c:pt idx="3">
                  <c:v>24260</c:v>
                </c:pt>
                <c:pt idx="4">
                  <c:v>24381.599999999999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4E-47F2-89BA-92D2BEED9434}"/>
            </c:ext>
          </c:extLst>
        </c:ser>
        <c:ser>
          <c:idx val="3"/>
          <c:order val="3"/>
          <c:tx>
            <c:v>Abertura do pregão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Exercicio8!$F$14:$F$18</c:f>
              <c:strCache>
                <c:ptCount val="5"/>
                <c:pt idx="0">
                  <c:v>Segunda-Feira </c:v>
                </c:pt>
                <c:pt idx="1">
                  <c:v>Terça-Feira </c:v>
                </c:pt>
                <c:pt idx="2">
                  <c:v>Quarta-Feira </c:v>
                </c:pt>
                <c:pt idx="3">
                  <c:v>Quinta-Feira </c:v>
                </c:pt>
                <c:pt idx="4">
                  <c:v>Sexta-Feira </c:v>
                </c:pt>
              </c:strCache>
            </c:strRef>
          </c:cat>
          <c:val>
            <c:numRef>
              <c:f>Exercicio8!$J$14:$J$18</c:f>
              <c:numCache>
                <c:formatCode>#,##0.00</c:formatCode>
                <c:ptCount val="5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84E-47F2-89BA-92D2BEED9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6"/>
        <c:overlap val="-27"/>
        <c:axId val="1697377727"/>
        <c:axId val="1524039839"/>
      </c:barChart>
      <c:catAx>
        <c:axId val="1697377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latin typeface="Arial" panose="020B0604020202020204" pitchFamily="34" charset="0"/>
                    <a:cs typeface="Arial" panose="020B0604020202020204" pitchFamily="34" charset="0"/>
                  </a:rPr>
                  <a:t>DIAS</a:t>
                </a:r>
                <a:r>
                  <a:rPr lang="pt-BR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DA SEMANA</a:t>
                </a:r>
                <a:endParaRPr lang="pt-BR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066170300141053"/>
              <c:y val="0.72194354452287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039839"/>
        <c:crosses val="autoZero"/>
        <c:auto val="1"/>
        <c:lblAlgn val="ctr"/>
        <c:lblOffset val="100"/>
        <c:noMultiLvlLbl val="0"/>
      </c:catAx>
      <c:valAx>
        <c:axId val="152403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Valores</a:t>
                </a:r>
                <a:r>
                  <a:rPr lang="pt-BR" baseline="0"/>
                  <a:t> semanais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7377727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6033782067564137"/>
          <c:y val="0.72851893513310839"/>
          <c:w val="0.18887477774955549"/>
          <c:h val="0.21791920077786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8093344767547612E-2"/>
          <c:y val="5.3206097582173102E-2"/>
          <c:w val="0.78340201224846895"/>
          <c:h val="0.66159776902887146"/>
        </c:manualLayout>
      </c:layout>
      <c:line3DChart>
        <c:grouping val="standard"/>
        <c:varyColors val="0"/>
        <c:ser>
          <c:idx val="0"/>
          <c:order val="0"/>
          <c:tx>
            <c:v>Custo(Reais)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Exercicio9!$E$13:$E$23</c:f>
              <c:strCache>
                <c:ptCount val="11"/>
                <c:pt idx="0">
                  <c:v>Borracha </c:v>
                </c:pt>
                <c:pt idx="1">
                  <c:v>Caderno 100 fls </c:v>
                </c:pt>
                <c:pt idx="2">
                  <c:v>Caderno 200 fls </c:v>
                </c:pt>
                <c:pt idx="3">
                  <c:v>Caneta Azul </c:v>
                </c:pt>
                <c:pt idx="4">
                  <c:v>Caneta Vermelha </c:v>
                </c:pt>
                <c:pt idx="5">
                  <c:v>Lapiseira </c:v>
                </c:pt>
                <c:pt idx="6">
                  <c:v>Régua 15 cm </c:v>
                </c:pt>
                <c:pt idx="7">
                  <c:v>Régua 30 cm </c:v>
                </c:pt>
                <c:pt idx="8">
                  <c:v>Giz de Cera </c:v>
                </c:pt>
                <c:pt idx="9">
                  <c:v>Cola </c:v>
                </c:pt>
                <c:pt idx="10">
                  <c:v>Compasso </c:v>
                </c:pt>
              </c:strCache>
            </c:strRef>
          </c:cat>
          <c:val>
            <c:numRef>
              <c:f>Exercicio9!$G$13:$G$23</c:f>
              <c:numCache>
                <c:formatCode>General</c:formatCode>
                <c:ptCount val="11"/>
                <c:pt idx="0">
                  <c:v>0.5</c:v>
                </c:pt>
                <c:pt idx="1">
                  <c:v>2.57</c:v>
                </c:pt>
                <c:pt idx="2">
                  <c:v>5</c:v>
                </c:pt>
                <c:pt idx="3">
                  <c:v>0.15</c:v>
                </c:pt>
                <c:pt idx="4">
                  <c:v>0.15</c:v>
                </c:pt>
                <c:pt idx="5">
                  <c:v>3</c:v>
                </c:pt>
                <c:pt idx="6">
                  <c:v>0.25</c:v>
                </c:pt>
                <c:pt idx="7">
                  <c:v>0.35</c:v>
                </c:pt>
                <c:pt idx="8">
                  <c:v>6</c:v>
                </c:pt>
                <c:pt idx="9">
                  <c:v>3.14</c:v>
                </c:pt>
                <c:pt idx="1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5-4AE1-A872-70C2916D5964}"/>
            </c:ext>
          </c:extLst>
        </c:ser>
        <c:ser>
          <c:idx val="1"/>
          <c:order val="1"/>
          <c:tx>
            <c:v>Venda(Reais)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Exercicio9!$H$13:$H$23</c:f>
              <c:numCache>
                <c:formatCode>_("R$"* #,##0.00_);_("R$"* \(#,##0.00\);_("R$"* "-"??_);_(@_)</c:formatCode>
                <c:ptCount val="11"/>
                <c:pt idx="0">
                  <c:v>0.55000000000000004</c:v>
                </c:pt>
                <c:pt idx="1">
                  <c:v>2.7</c:v>
                </c:pt>
                <c:pt idx="2">
                  <c:v>5.5</c:v>
                </c:pt>
                <c:pt idx="3">
                  <c:v>0.25</c:v>
                </c:pt>
                <c:pt idx="4">
                  <c:v>0.25</c:v>
                </c:pt>
                <c:pt idx="5">
                  <c:v>3.5</c:v>
                </c:pt>
                <c:pt idx="6">
                  <c:v>0.3</c:v>
                </c:pt>
                <c:pt idx="7">
                  <c:v>0.45</c:v>
                </c:pt>
                <c:pt idx="8">
                  <c:v>6.5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0F5-4AE1-A872-70C2916D5964}"/>
            </c:ext>
          </c:extLst>
        </c:ser>
        <c:ser>
          <c:idx val="2"/>
          <c:order val="2"/>
          <c:tx>
            <c:v>Custo(Dólar)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Exercicio9!$J$13:$J$23</c:f>
              <c:numCache>
                <c:formatCode>General</c:formatCode>
                <c:ptCount val="11"/>
                <c:pt idx="0">
                  <c:v>0.14970059880239522</c:v>
                </c:pt>
                <c:pt idx="1">
                  <c:v>0.76946107784431139</c:v>
                </c:pt>
                <c:pt idx="2">
                  <c:v>1.4970059880239521</c:v>
                </c:pt>
                <c:pt idx="3">
                  <c:v>4.4910179640718563E-2</c:v>
                </c:pt>
                <c:pt idx="4">
                  <c:v>4.4910179640718563E-2</c:v>
                </c:pt>
                <c:pt idx="5">
                  <c:v>6.0000000000000001E-3</c:v>
                </c:pt>
                <c:pt idx="6">
                  <c:v>7.4850299401197612E-2</c:v>
                </c:pt>
                <c:pt idx="7">
                  <c:v>0.10479041916167664</c:v>
                </c:pt>
                <c:pt idx="8">
                  <c:v>1.7964071856287427</c:v>
                </c:pt>
                <c:pt idx="9">
                  <c:v>0.940119760479042</c:v>
                </c:pt>
                <c:pt idx="10">
                  <c:v>1.7005988023952097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0F5-4AE1-A872-70C2916D5964}"/>
            </c:ext>
          </c:extLst>
        </c:ser>
        <c:ser>
          <c:idx val="3"/>
          <c:order val="3"/>
          <c:tx>
            <c:v>Venda(Dólar)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Exercicio9!$K$13:$K$23</c:f>
              <c:numCache>
                <c:formatCode>0%</c:formatCode>
                <c:ptCount val="11"/>
                <c:pt idx="0">
                  <c:v>0.27470059880239522</c:v>
                </c:pt>
                <c:pt idx="1">
                  <c:v>0.89446107784431139</c:v>
                </c:pt>
                <c:pt idx="2">
                  <c:v>1.6220059880239521</c:v>
                </c:pt>
                <c:pt idx="3">
                  <c:v>0.16991017964071856</c:v>
                </c:pt>
                <c:pt idx="4">
                  <c:v>0.16991017964071856</c:v>
                </c:pt>
                <c:pt idx="5">
                  <c:v>0.13100000000000001</c:v>
                </c:pt>
                <c:pt idx="6">
                  <c:v>0.19985029940119761</c:v>
                </c:pt>
                <c:pt idx="7">
                  <c:v>0.22979041916167664</c:v>
                </c:pt>
                <c:pt idx="8">
                  <c:v>1.9214071856287427</c:v>
                </c:pt>
                <c:pt idx="9">
                  <c:v>1.0651197604790421</c:v>
                </c:pt>
                <c:pt idx="10">
                  <c:v>1.8255988023952097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0F5-4AE1-A872-70C2916D5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40095"/>
        <c:axId val="1430194559"/>
        <c:axId val="1424485679"/>
      </c:line3DChart>
      <c:catAx>
        <c:axId val="142684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produtos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194559"/>
        <c:crosses val="autoZero"/>
        <c:auto val="1"/>
        <c:lblAlgn val="ctr"/>
        <c:lblOffset val="100"/>
        <c:noMultiLvlLbl val="0"/>
      </c:catAx>
      <c:valAx>
        <c:axId val="143019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840095"/>
        <c:crosses val="autoZero"/>
        <c:crossBetween val="between"/>
      </c:valAx>
      <c:serAx>
        <c:axId val="1424485679"/>
        <c:scaling>
          <c:orientation val="minMax"/>
        </c:scaling>
        <c:delete val="1"/>
        <c:axPos val="b"/>
        <c:majorTickMark val="out"/>
        <c:minorTickMark val="none"/>
        <c:tickLblPos val="nextTo"/>
        <c:crossAx val="1430194559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76328577739655"/>
          <c:y val="0.31265995724044426"/>
          <c:w val="0.16537616906443955"/>
          <c:h val="0.29801533086509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5</xdr:col>
      <xdr:colOff>4445</xdr:colOff>
      <xdr:row>11</xdr:row>
      <xdr:rowOff>177800</xdr:rowOff>
    </xdr:to>
    <xdr:grpSp>
      <xdr:nvGrpSpPr>
        <xdr:cNvPr id="2" name="Group 39642">
          <a:extLst>
            <a:ext uri="{FF2B5EF4-FFF2-40B4-BE49-F238E27FC236}">
              <a16:creationId xmlns:a16="http://schemas.microsoft.com/office/drawing/2014/main" id="{6B0F5AAF-0AC3-7D7F-0893-DA92F35DCBE7}"/>
            </a:ext>
          </a:extLst>
        </xdr:cNvPr>
        <xdr:cNvGrpSpPr/>
      </xdr:nvGrpSpPr>
      <xdr:grpSpPr>
        <a:xfrm>
          <a:off x="3048000" y="2095500"/>
          <a:ext cx="4445" cy="177800"/>
          <a:chOff x="0" y="0"/>
          <a:chExt cx="4566" cy="178302"/>
        </a:xfrm>
      </xdr:grpSpPr>
      <xdr:sp macro="" textlink="">
        <xdr:nvSpPr>
          <xdr:cNvPr id="3" name="Shape 54744">
            <a:extLst>
              <a:ext uri="{FF2B5EF4-FFF2-40B4-BE49-F238E27FC236}">
                <a16:creationId xmlns:a16="http://schemas.microsoft.com/office/drawing/2014/main" id="{5A20B545-828E-0CC9-54CD-BE1009945D84}"/>
              </a:ext>
            </a:extLst>
          </xdr:cNvPr>
          <xdr:cNvSpPr/>
        </xdr:nvSpPr>
        <xdr:spPr>
          <a:xfrm>
            <a:off x="0" y="0"/>
            <a:ext cx="9144" cy="12186"/>
          </a:xfrm>
          <a:custGeom>
            <a:avLst/>
            <a:gdLst/>
            <a:ahLst/>
            <a:cxnLst/>
            <a:rect l="0" t="0" r="0" b="0"/>
            <a:pathLst>
              <a:path w="9144" h="12186">
                <a:moveTo>
                  <a:pt x="0" y="0"/>
                </a:moveTo>
                <a:lnTo>
                  <a:pt x="9144" y="0"/>
                </a:lnTo>
                <a:lnTo>
                  <a:pt x="9144" y="12186"/>
                </a:lnTo>
                <a:lnTo>
                  <a:pt x="0" y="12186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4" name="Shape 54745">
            <a:extLst>
              <a:ext uri="{FF2B5EF4-FFF2-40B4-BE49-F238E27FC236}">
                <a16:creationId xmlns:a16="http://schemas.microsoft.com/office/drawing/2014/main" id="{1F426C20-A68C-2667-29FB-638DE33746C2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0" t="0" r="0" b="0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5" name="Shape 54746">
            <a:extLst>
              <a:ext uri="{FF2B5EF4-FFF2-40B4-BE49-F238E27FC236}">
                <a16:creationId xmlns:a16="http://schemas.microsoft.com/office/drawing/2014/main" id="{7B4887B8-706A-968C-5C6B-0459E2DAEBE0}"/>
              </a:ext>
            </a:extLst>
          </xdr:cNvPr>
          <xdr:cNvSpPr/>
        </xdr:nvSpPr>
        <xdr:spPr>
          <a:xfrm>
            <a:off x="0" y="12192"/>
            <a:ext cx="9144" cy="166110"/>
          </a:xfrm>
          <a:custGeom>
            <a:avLst/>
            <a:gdLst/>
            <a:ahLst/>
            <a:cxnLst/>
            <a:rect l="0" t="0" r="0" b="0"/>
            <a:pathLst>
              <a:path w="9144" h="166110">
                <a:moveTo>
                  <a:pt x="0" y="0"/>
                </a:moveTo>
                <a:lnTo>
                  <a:pt x="9144" y="0"/>
                </a:lnTo>
                <a:lnTo>
                  <a:pt x="9144" y="166110"/>
                </a:lnTo>
                <a:lnTo>
                  <a:pt x="0" y="16611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pt-BR"/>
          </a:p>
        </xdr:txBody>
      </xdr:sp>
    </xdr:grp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395605</xdr:colOff>
      <xdr:row>11</xdr:row>
      <xdr:rowOff>5715</xdr:rowOff>
    </xdr:to>
    <xdr:grpSp>
      <xdr:nvGrpSpPr>
        <xdr:cNvPr id="6" name="Group 39658">
          <a:extLst>
            <a:ext uri="{FF2B5EF4-FFF2-40B4-BE49-F238E27FC236}">
              <a16:creationId xmlns:a16="http://schemas.microsoft.com/office/drawing/2014/main" id="{FB7E3C8E-2F76-BB2B-0A2E-45AAEB2F5DF3}"/>
            </a:ext>
          </a:extLst>
        </xdr:cNvPr>
        <xdr:cNvGrpSpPr/>
      </xdr:nvGrpSpPr>
      <xdr:grpSpPr>
        <a:xfrm>
          <a:off x="3933825" y="2095500"/>
          <a:ext cx="1691005" cy="5715"/>
          <a:chOff x="0" y="0"/>
          <a:chExt cx="1005834" cy="6090"/>
        </a:xfrm>
      </xdr:grpSpPr>
      <xdr:sp macro="" textlink="">
        <xdr:nvSpPr>
          <xdr:cNvPr id="7" name="Shape 54750">
            <a:extLst>
              <a:ext uri="{FF2B5EF4-FFF2-40B4-BE49-F238E27FC236}">
                <a16:creationId xmlns:a16="http://schemas.microsoft.com/office/drawing/2014/main" id="{C5D88166-7388-1D1C-397F-A8DB54F06378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0" t="0" r="0" b="0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8" name="Shape 54751">
            <a:extLst>
              <a:ext uri="{FF2B5EF4-FFF2-40B4-BE49-F238E27FC236}">
                <a16:creationId xmlns:a16="http://schemas.microsoft.com/office/drawing/2014/main" id="{71B94BE4-A3EF-F4EA-ED33-2253DA0B0E3F}"/>
              </a:ext>
            </a:extLst>
          </xdr:cNvPr>
          <xdr:cNvSpPr/>
        </xdr:nvSpPr>
        <xdr:spPr>
          <a:xfrm>
            <a:off x="6096" y="0"/>
            <a:ext cx="993642" cy="9144"/>
          </a:xfrm>
          <a:custGeom>
            <a:avLst/>
            <a:gdLst/>
            <a:ahLst/>
            <a:cxnLst/>
            <a:rect l="0" t="0" r="0" b="0"/>
            <a:pathLst>
              <a:path w="993642" h="9144">
                <a:moveTo>
                  <a:pt x="0" y="0"/>
                </a:moveTo>
                <a:lnTo>
                  <a:pt x="993642" y="0"/>
                </a:lnTo>
                <a:lnTo>
                  <a:pt x="993642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9" name="Shape 54752">
            <a:extLst>
              <a:ext uri="{FF2B5EF4-FFF2-40B4-BE49-F238E27FC236}">
                <a16:creationId xmlns:a16="http://schemas.microsoft.com/office/drawing/2014/main" id="{3060007F-F5D0-359C-CC47-0068AA84CF6D}"/>
              </a:ext>
            </a:extLst>
          </xdr:cNvPr>
          <xdr:cNvSpPr/>
        </xdr:nvSpPr>
        <xdr:spPr>
          <a:xfrm>
            <a:off x="999744" y="0"/>
            <a:ext cx="9144" cy="9144"/>
          </a:xfrm>
          <a:custGeom>
            <a:avLst/>
            <a:gdLst/>
            <a:ahLst/>
            <a:cxnLst/>
            <a:rect l="0" t="0" r="0" b="0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523875</xdr:colOff>
      <xdr:row>20</xdr:row>
      <xdr:rowOff>171450</xdr:rowOff>
    </xdr:from>
    <xdr:to>
      <xdr:col>9</xdr:col>
      <xdr:colOff>1409700</xdr:colOff>
      <xdr:row>41</xdr:row>
      <xdr:rowOff>104775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F5D2527-B9F2-CA7C-E73F-9B3D0C363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971550</xdr:colOff>
      <xdr:row>26</xdr:row>
      <xdr:rowOff>142875</xdr:rowOff>
    </xdr:from>
    <xdr:to>
      <xdr:col>10</xdr:col>
      <xdr:colOff>457199</xdr:colOff>
      <xdr:row>41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3DB80F-03CE-B92C-D2F2-40225F220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8CCF-77A0-4C50-A082-1F49C28C64DC}">
  <dimension ref="A1:O27"/>
  <sheetViews>
    <sheetView topLeftCell="A13" zoomScaleNormal="100" workbookViewId="0">
      <selection activeCell="B53" sqref="B53"/>
    </sheetView>
  </sheetViews>
  <sheetFormatPr defaultRowHeight="15" x14ac:dyDescent="0.25"/>
  <cols>
    <col min="7" max="7" width="14.7109375" bestFit="1" customWidth="1"/>
    <col min="8" max="8" width="19.85546875" customWidth="1"/>
    <col min="9" max="10" width="12.140625" bestFit="1" customWidth="1"/>
    <col min="11" max="11" width="13.28515625" bestFit="1" customWidth="1"/>
    <col min="12" max="12" width="13.5703125" customWidth="1"/>
    <col min="13" max="15" width="11.7109375" bestFit="1" customWidth="1"/>
  </cols>
  <sheetData>
    <row r="1" spans="1:15" x14ac:dyDescent="0.25">
      <c r="G1" s="3" t="s">
        <v>6</v>
      </c>
      <c r="H1" s="3" t="s">
        <v>3</v>
      </c>
      <c r="I1" s="3" t="s">
        <v>4</v>
      </c>
      <c r="J1" s="3" t="s">
        <v>5</v>
      </c>
      <c r="K1" s="4" t="s">
        <v>7</v>
      </c>
      <c r="L1" s="4" t="s">
        <v>8</v>
      </c>
      <c r="M1" s="4" t="s">
        <v>9</v>
      </c>
    </row>
    <row r="2" spans="1:15" x14ac:dyDescent="0.25">
      <c r="B2">
        <v>1</v>
      </c>
      <c r="G2" s="2" t="s">
        <v>0</v>
      </c>
      <c r="H2" s="2">
        <v>10</v>
      </c>
      <c r="I2" s="2">
        <v>8</v>
      </c>
      <c r="J2" s="2">
        <f>H2+I2</f>
        <v>18</v>
      </c>
      <c r="K2" s="2">
        <f>AVERAGE(H2:I2)</f>
        <v>9</v>
      </c>
      <c r="L2" s="2">
        <f>MAX(H2:I2)</f>
        <v>10</v>
      </c>
      <c r="M2" s="2">
        <f>MIN(H2:I2)</f>
        <v>8</v>
      </c>
    </row>
    <row r="3" spans="1:15" x14ac:dyDescent="0.25">
      <c r="B3">
        <v>2</v>
      </c>
      <c r="G3" s="2" t="s">
        <v>1</v>
      </c>
      <c r="H3" s="2">
        <v>5</v>
      </c>
      <c r="I3" s="2">
        <v>10</v>
      </c>
      <c r="J3" s="2">
        <f>H3+I3</f>
        <v>15</v>
      </c>
      <c r="K3" s="2">
        <f t="shared" ref="K3:K4" si="0">AVERAGE(H3:I3)</f>
        <v>7.5</v>
      </c>
      <c r="L3" s="2">
        <f t="shared" ref="L3:L4" si="1">MAX(H3:I3)</f>
        <v>10</v>
      </c>
      <c r="M3" s="2">
        <f t="shared" ref="M3:M4" si="2">MIN(H3:I3)</f>
        <v>5</v>
      </c>
    </row>
    <row r="4" spans="1:15" x14ac:dyDescent="0.25">
      <c r="B4">
        <v>3</v>
      </c>
      <c r="G4" s="2" t="s">
        <v>2</v>
      </c>
      <c r="H4" s="2">
        <v>7</v>
      </c>
      <c r="I4" s="2">
        <v>7</v>
      </c>
      <c r="J4" s="2">
        <f>H4+I4</f>
        <v>14</v>
      </c>
      <c r="K4" s="2">
        <f t="shared" si="0"/>
        <v>7</v>
      </c>
      <c r="L4" s="2">
        <f t="shared" si="1"/>
        <v>7</v>
      </c>
      <c r="M4" s="2">
        <f t="shared" si="2"/>
        <v>7</v>
      </c>
    </row>
    <row r="5" spans="1:15" x14ac:dyDescent="0.25">
      <c r="B5">
        <v>4</v>
      </c>
    </row>
    <row r="6" spans="1:15" x14ac:dyDescent="0.25">
      <c r="B6">
        <v>5</v>
      </c>
    </row>
    <row r="7" spans="1:15" x14ac:dyDescent="0.25">
      <c r="B7">
        <v>6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9" t="s">
        <v>15</v>
      </c>
      <c r="M7" s="9" t="s">
        <v>16</v>
      </c>
      <c r="N7" s="9" t="s">
        <v>17</v>
      </c>
      <c r="O7" s="9" t="s">
        <v>18</v>
      </c>
    </row>
    <row r="8" spans="1:15" x14ac:dyDescent="0.25">
      <c r="B8">
        <v>7</v>
      </c>
      <c r="G8" s="2">
        <v>1</v>
      </c>
      <c r="H8" s="5" t="s">
        <v>19</v>
      </c>
      <c r="I8" s="6">
        <v>4500</v>
      </c>
      <c r="J8" s="6">
        <v>5040</v>
      </c>
      <c r="K8" s="6">
        <v>5696</v>
      </c>
      <c r="L8" s="7">
        <f>SUM(I8:K8)</f>
        <v>15236</v>
      </c>
      <c r="M8" s="7">
        <f>MAX(I8:K8)</f>
        <v>5696</v>
      </c>
      <c r="N8" s="7">
        <f>MIN(I8:K8)</f>
        <v>4500</v>
      </c>
      <c r="O8" s="7">
        <f>AVERAGE(I8:K8)</f>
        <v>5078.666666666667</v>
      </c>
    </row>
    <row r="9" spans="1:15" x14ac:dyDescent="0.25">
      <c r="B9">
        <v>8</v>
      </c>
      <c r="G9" s="2">
        <v>2</v>
      </c>
      <c r="H9" s="5" t="s">
        <v>20</v>
      </c>
      <c r="I9" s="6">
        <v>6250</v>
      </c>
      <c r="J9" s="6">
        <v>7000</v>
      </c>
      <c r="K9" s="6">
        <v>7910</v>
      </c>
      <c r="L9" s="7">
        <f t="shared" ref="L9:L13" si="3">SUM(I9:K9)</f>
        <v>21160</v>
      </c>
      <c r="M9" s="7">
        <f t="shared" ref="M9:M13" si="4">MAX(I9:K9)</f>
        <v>7910</v>
      </c>
      <c r="N9" s="7">
        <f t="shared" ref="N9:N13" si="5">MIN(I9:K9)</f>
        <v>6250</v>
      </c>
      <c r="O9" s="7">
        <f t="shared" ref="O9:O13" si="6">AVERAGE(I9:K9)</f>
        <v>7053.333333333333</v>
      </c>
    </row>
    <row r="10" spans="1:15" x14ac:dyDescent="0.25">
      <c r="B10">
        <v>9</v>
      </c>
      <c r="G10" s="2">
        <v>3</v>
      </c>
      <c r="H10" s="5" t="s">
        <v>21</v>
      </c>
      <c r="I10" s="6">
        <v>3300</v>
      </c>
      <c r="J10" s="6">
        <v>3696</v>
      </c>
      <c r="K10" s="6">
        <v>4176</v>
      </c>
      <c r="L10" s="7">
        <f t="shared" si="3"/>
        <v>11172</v>
      </c>
      <c r="M10" s="7">
        <f t="shared" si="4"/>
        <v>4176</v>
      </c>
      <c r="N10" s="7">
        <f t="shared" si="5"/>
        <v>3300</v>
      </c>
      <c r="O10" s="7">
        <f t="shared" si="6"/>
        <v>3724</v>
      </c>
    </row>
    <row r="11" spans="1:15" x14ac:dyDescent="0.25">
      <c r="B11">
        <v>10</v>
      </c>
      <c r="G11" s="2">
        <v>4</v>
      </c>
      <c r="H11" s="5" t="s">
        <v>22</v>
      </c>
      <c r="I11" s="6">
        <v>8000</v>
      </c>
      <c r="J11" s="6">
        <v>8690</v>
      </c>
      <c r="K11" s="6">
        <v>10125</v>
      </c>
      <c r="L11" s="7">
        <f t="shared" si="3"/>
        <v>26815</v>
      </c>
      <c r="M11" s="7">
        <f>MAX(I11:K11)</f>
        <v>10125</v>
      </c>
      <c r="N11" s="7">
        <f t="shared" si="5"/>
        <v>8000</v>
      </c>
      <c r="O11" s="7">
        <f t="shared" si="6"/>
        <v>8938.3333333333339</v>
      </c>
    </row>
    <row r="12" spans="1:15" x14ac:dyDescent="0.25">
      <c r="A12" s="1" t="s">
        <v>7</v>
      </c>
      <c r="B12" s="1">
        <f>AVERAGE(B2:B11)</f>
        <v>5.5</v>
      </c>
      <c r="G12" s="2">
        <v>5</v>
      </c>
      <c r="H12" s="5" t="s">
        <v>23</v>
      </c>
      <c r="I12" s="6">
        <v>4557</v>
      </c>
      <c r="J12" s="6">
        <v>5104</v>
      </c>
      <c r="K12" s="6">
        <v>5676</v>
      </c>
      <c r="L12" s="7">
        <f t="shared" si="3"/>
        <v>15337</v>
      </c>
      <c r="M12" s="7">
        <f t="shared" si="4"/>
        <v>5676</v>
      </c>
      <c r="N12" s="7">
        <f t="shared" si="5"/>
        <v>4557</v>
      </c>
      <c r="O12" s="7">
        <f t="shared" si="6"/>
        <v>5112.333333333333</v>
      </c>
    </row>
    <row r="13" spans="1:15" x14ac:dyDescent="0.25">
      <c r="A13" s="1" t="s">
        <v>8</v>
      </c>
      <c r="B13" s="1">
        <f>MAX(B2:B11)</f>
        <v>10</v>
      </c>
      <c r="G13" s="2">
        <v>6</v>
      </c>
      <c r="H13" s="5" t="s">
        <v>24</v>
      </c>
      <c r="I13" s="6">
        <v>3260</v>
      </c>
      <c r="J13" s="6">
        <v>3640</v>
      </c>
      <c r="K13" s="6">
        <v>4113</v>
      </c>
      <c r="L13" s="7">
        <f t="shared" si="3"/>
        <v>11013</v>
      </c>
      <c r="M13" s="7">
        <f t="shared" si="4"/>
        <v>4113</v>
      </c>
      <c r="N13" s="7">
        <f t="shared" si="5"/>
        <v>3260</v>
      </c>
      <c r="O13" s="7">
        <f t="shared" si="6"/>
        <v>3671</v>
      </c>
    </row>
    <row r="14" spans="1:15" x14ac:dyDescent="0.25">
      <c r="A14" s="1" t="s">
        <v>9</v>
      </c>
      <c r="B14" s="1">
        <f>MIN(B2:B11)</f>
        <v>1</v>
      </c>
    </row>
    <row r="15" spans="1:15" x14ac:dyDescent="0.25">
      <c r="H15" s="8" t="s">
        <v>28</v>
      </c>
      <c r="I15" s="7">
        <f t="shared" ref="I15:O15" si="7">SUM(I8:I13)</f>
        <v>29867</v>
      </c>
      <c r="J15" s="7">
        <f t="shared" si="7"/>
        <v>33170</v>
      </c>
      <c r="K15" s="7">
        <f t="shared" si="7"/>
        <v>37696</v>
      </c>
      <c r="L15" s="7">
        <f t="shared" si="7"/>
        <v>100733</v>
      </c>
      <c r="M15" s="7">
        <f t="shared" si="7"/>
        <v>37696</v>
      </c>
      <c r="N15" s="7">
        <f t="shared" si="7"/>
        <v>29867</v>
      </c>
      <c r="O15" s="7">
        <f t="shared" si="7"/>
        <v>33577.666666666672</v>
      </c>
    </row>
    <row r="17" spans="7:15" x14ac:dyDescent="0.25">
      <c r="G17" s="8" t="s">
        <v>10</v>
      </c>
      <c r="H17" s="8" t="s">
        <v>11</v>
      </c>
      <c r="I17" s="8" t="s">
        <v>25</v>
      </c>
      <c r="J17" s="8" t="s">
        <v>26</v>
      </c>
      <c r="K17" s="8" t="s">
        <v>27</v>
      </c>
      <c r="L17" s="9" t="s">
        <v>15</v>
      </c>
      <c r="M17" s="9" t="s">
        <v>16</v>
      </c>
      <c r="N17" s="9" t="s">
        <v>17</v>
      </c>
      <c r="O17" s="9" t="s">
        <v>18</v>
      </c>
    </row>
    <row r="18" spans="7:15" x14ac:dyDescent="0.25">
      <c r="G18" s="2">
        <v>1</v>
      </c>
      <c r="H18" s="5" t="s">
        <v>19</v>
      </c>
      <c r="I18" s="10">
        <v>6265</v>
      </c>
      <c r="J18" s="10">
        <v>6954</v>
      </c>
      <c r="K18" s="10">
        <v>7858</v>
      </c>
      <c r="L18" s="10">
        <f>SUM(I18:K18)</f>
        <v>21077</v>
      </c>
      <c r="M18" s="10">
        <f>MAX(I18:K18)</f>
        <v>7858</v>
      </c>
      <c r="N18" s="10">
        <f>MIN(I18:K18)</f>
        <v>6265</v>
      </c>
      <c r="O18" s="10">
        <f>AVERAGE(I18:K18)</f>
        <v>7025.666666666667</v>
      </c>
    </row>
    <row r="19" spans="7:15" x14ac:dyDescent="0.25">
      <c r="G19" s="2">
        <v>2</v>
      </c>
      <c r="H19" s="5" t="s">
        <v>20</v>
      </c>
      <c r="I19" s="10">
        <v>8701</v>
      </c>
      <c r="J19" s="10">
        <v>9658</v>
      </c>
      <c r="K19" s="10">
        <v>10197</v>
      </c>
      <c r="L19" s="10">
        <f t="shared" ref="L19:L23" si="8">SUM(I19:K19)</f>
        <v>28556</v>
      </c>
      <c r="M19" s="10">
        <f t="shared" ref="M19:M23" si="9">MAX(I19:K19)</f>
        <v>10197</v>
      </c>
      <c r="N19" s="10">
        <f t="shared" ref="N19:N23" si="10">MIN(I19:K19)</f>
        <v>8701</v>
      </c>
      <c r="O19" s="10">
        <f t="shared" ref="O19:O23" si="11">AVERAGE(I19:K19)</f>
        <v>9518.6666666666661</v>
      </c>
    </row>
    <row r="20" spans="7:15" x14ac:dyDescent="0.25">
      <c r="G20" s="2">
        <v>3</v>
      </c>
      <c r="H20" s="5" t="s">
        <v>21</v>
      </c>
      <c r="I20" s="10">
        <v>4569</v>
      </c>
      <c r="J20" s="10">
        <v>5099</v>
      </c>
      <c r="K20" s="10">
        <v>5769</v>
      </c>
      <c r="L20" s="10">
        <f t="shared" si="8"/>
        <v>15437</v>
      </c>
      <c r="M20" s="10">
        <f t="shared" si="9"/>
        <v>5769</v>
      </c>
      <c r="N20" s="10">
        <f t="shared" si="10"/>
        <v>4569</v>
      </c>
      <c r="O20" s="10">
        <f t="shared" si="11"/>
        <v>5145.666666666667</v>
      </c>
    </row>
    <row r="21" spans="7:15" x14ac:dyDescent="0.25">
      <c r="G21" s="2">
        <v>4</v>
      </c>
      <c r="H21" s="5" t="s">
        <v>22</v>
      </c>
      <c r="I21" s="10">
        <v>12341</v>
      </c>
      <c r="J21" s="10">
        <v>12365</v>
      </c>
      <c r="K21" s="10">
        <v>13969</v>
      </c>
      <c r="L21" s="10">
        <f t="shared" si="8"/>
        <v>38675</v>
      </c>
      <c r="M21" s="10">
        <f t="shared" si="9"/>
        <v>13969</v>
      </c>
      <c r="N21" s="10">
        <f t="shared" si="10"/>
        <v>12341</v>
      </c>
      <c r="O21" s="10">
        <f t="shared" si="11"/>
        <v>12891.666666666666</v>
      </c>
    </row>
    <row r="22" spans="7:15" x14ac:dyDescent="0.25">
      <c r="G22" s="2">
        <v>5</v>
      </c>
      <c r="H22" s="5" t="s">
        <v>23</v>
      </c>
      <c r="I22" s="10">
        <v>6344</v>
      </c>
      <c r="J22" s="10">
        <v>7042</v>
      </c>
      <c r="K22" s="10">
        <v>7957</v>
      </c>
      <c r="L22" s="10">
        <f t="shared" si="8"/>
        <v>21343</v>
      </c>
      <c r="M22" s="10">
        <f t="shared" si="9"/>
        <v>7957</v>
      </c>
      <c r="N22" s="10">
        <f t="shared" si="10"/>
        <v>6344</v>
      </c>
      <c r="O22" s="10">
        <f t="shared" si="11"/>
        <v>7114.333333333333</v>
      </c>
    </row>
    <row r="23" spans="7:15" x14ac:dyDescent="0.25">
      <c r="G23" s="2">
        <v>6</v>
      </c>
      <c r="H23" s="5" t="s">
        <v>24</v>
      </c>
      <c r="I23" s="10">
        <v>4525</v>
      </c>
      <c r="J23" s="10">
        <v>5022</v>
      </c>
      <c r="K23" s="10">
        <v>5671</v>
      </c>
      <c r="L23" s="10">
        <f t="shared" si="8"/>
        <v>15218</v>
      </c>
      <c r="M23" s="10">
        <f t="shared" si="9"/>
        <v>5671</v>
      </c>
      <c r="N23" s="10">
        <f t="shared" si="10"/>
        <v>4525</v>
      </c>
      <c r="O23" s="10">
        <f t="shared" si="11"/>
        <v>5072.666666666667</v>
      </c>
    </row>
    <row r="25" spans="7:15" x14ac:dyDescent="0.25">
      <c r="H25" s="8" t="s">
        <v>28</v>
      </c>
      <c r="I25" s="7">
        <f t="shared" ref="I25:O25" si="12">SUM(I18:I23)</f>
        <v>42745</v>
      </c>
      <c r="J25" s="7">
        <f t="shared" si="12"/>
        <v>46140</v>
      </c>
      <c r="K25" s="7">
        <f t="shared" si="12"/>
        <v>51421</v>
      </c>
      <c r="L25" s="7">
        <f t="shared" si="12"/>
        <v>140306</v>
      </c>
      <c r="M25" s="7">
        <f t="shared" si="12"/>
        <v>51421</v>
      </c>
      <c r="N25" s="7">
        <f t="shared" si="12"/>
        <v>42745</v>
      </c>
      <c r="O25" s="7">
        <f t="shared" si="12"/>
        <v>46768.666666666664</v>
      </c>
    </row>
    <row r="27" spans="7:15" ht="18" customHeight="1" x14ac:dyDescent="0.25">
      <c r="H27" s="11" t="s">
        <v>29</v>
      </c>
      <c r="I27" s="12">
        <f>I15+I25</f>
        <v>72612</v>
      </c>
      <c r="J27" s="12">
        <f t="shared" ref="J27:O27" si="13">J15+J25</f>
        <v>79310</v>
      </c>
      <c r="K27" s="12">
        <f t="shared" si="13"/>
        <v>89117</v>
      </c>
      <c r="L27" s="12">
        <f t="shared" si="13"/>
        <v>241039</v>
      </c>
      <c r="M27" s="12">
        <f t="shared" si="13"/>
        <v>89117</v>
      </c>
      <c r="N27" s="12">
        <f t="shared" si="13"/>
        <v>72612</v>
      </c>
      <c r="O27" s="12">
        <f t="shared" si="13"/>
        <v>80346.333333333343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CCF5-5E62-45A0-91D5-D2F9F7708282}">
  <dimension ref="A2:M19"/>
  <sheetViews>
    <sheetView workbookViewId="0">
      <selection activeCell="K19" sqref="K19"/>
    </sheetView>
  </sheetViews>
  <sheetFormatPr defaultRowHeight="15" x14ac:dyDescent="0.25"/>
  <cols>
    <col min="7" max="7" width="19.140625" customWidth="1"/>
    <col min="8" max="8" width="14.7109375" customWidth="1"/>
    <col min="11" max="11" width="10" bestFit="1" customWidth="1"/>
  </cols>
  <sheetData>
    <row r="2" spans="7:13" x14ac:dyDescent="0.25">
      <c r="G2" s="40"/>
      <c r="H2" s="103" t="s">
        <v>30</v>
      </c>
      <c r="I2" s="103"/>
      <c r="J2" s="103"/>
      <c r="K2" s="103"/>
      <c r="L2" s="103"/>
      <c r="M2" s="40"/>
    </row>
    <row r="3" spans="7:13" x14ac:dyDescent="0.25">
      <c r="G3" s="42" t="s">
        <v>31</v>
      </c>
      <c r="H3" s="104" t="s">
        <v>32</v>
      </c>
      <c r="I3" s="104"/>
      <c r="J3" s="104"/>
      <c r="K3" s="104"/>
      <c r="L3" s="104"/>
      <c r="M3" s="42" t="s">
        <v>31</v>
      </c>
    </row>
    <row r="4" spans="7:13" ht="25.5" x14ac:dyDescent="0.25">
      <c r="G4" s="42" t="s">
        <v>31</v>
      </c>
      <c r="H4" s="48" t="s">
        <v>33</v>
      </c>
      <c r="I4" s="47" t="s">
        <v>34</v>
      </c>
      <c r="J4" s="48" t="s">
        <v>35</v>
      </c>
      <c r="K4" s="48" t="s">
        <v>36</v>
      </c>
      <c r="L4" s="48" t="s">
        <v>37</v>
      </c>
      <c r="M4" s="48" t="s">
        <v>38</v>
      </c>
    </row>
    <row r="5" spans="7:13" x14ac:dyDescent="0.25">
      <c r="G5" s="48" t="s">
        <v>39</v>
      </c>
      <c r="H5" s="92">
        <v>500</v>
      </c>
      <c r="I5" s="93">
        <v>750</v>
      </c>
      <c r="J5" s="93">
        <v>800</v>
      </c>
      <c r="K5" s="93">
        <v>700</v>
      </c>
      <c r="L5" s="93">
        <v>654</v>
      </c>
      <c r="M5" s="93">
        <v>700</v>
      </c>
    </row>
    <row r="6" spans="7:13" x14ac:dyDescent="0.25">
      <c r="G6" s="48" t="s">
        <v>40</v>
      </c>
      <c r="H6" s="42" t="s">
        <v>31</v>
      </c>
      <c r="I6" s="42" t="s">
        <v>31</v>
      </c>
      <c r="J6" s="42" t="s">
        <v>31</v>
      </c>
      <c r="K6" s="42" t="s">
        <v>31</v>
      </c>
      <c r="L6" s="42" t="s">
        <v>31</v>
      </c>
      <c r="M6" s="40"/>
    </row>
    <row r="7" spans="7:13" x14ac:dyDescent="0.25">
      <c r="G7" s="48" t="s">
        <v>41</v>
      </c>
      <c r="H7" s="92">
        <v>10</v>
      </c>
      <c r="I7" s="93">
        <v>15</v>
      </c>
      <c r="J7" s="93">
        <v>15</v>
      </c>
      <c r="K7" s="93">
        <v>12</v>
      </c>
      <c r="L7" s="93">
        <v>12</v>
      </c>
      <c r="M7" s="93">
        <v>11</v>
      </c>
    </row>
    <row r="8" spans="7:13" x14ac:dyDescent="0.25">
      <c r="G8" s="48" t="s">
        <v>42</v>
      </c>
      <c r="H8" s="92">
        <v>50</v>
      </c>
      <c r="I8" s="93">
        <v>60</v>
      </c>
      <c r="J8" s="93">
        <v>54</v>
      </c>
      <c r="K8" s="93">
        <v>55</v>
      </c>
      <c r="L8" s="93">
        <v>54</v>
      </c>
      <c r="M8" s="93">
        <v>56</v>
      </c>
    </row>
    <row r="9" spans="7:13" x14ac:dyDescent="0.25">
      <c r="G9" s="48" t="s">
        <v>43</v>
      </c>
      <c r="H9" s="92">
        <v>300</v>
      </c>
      <c r="I9" s="93">
        <v>250</v>
      </c>
      <c r="J9" s="93">
        <v>300</v>
      </c>
      <c r="K9" s="93">
        <v>300</v>
      </c>
      <c r="L9" s="93">
        <v>200</v>
      </c>
      <c r="M9" s="93">
        <v>200</v>
      </c>
    </row>
    <row r="10" spans="7:13" x14ac:dyDescent="0.25">
      <c r="G10" s="48" t="s">
        <v>44</v>
      </c>
      <c r="H10" s="92">
        <v>40</v>
      </c>
      <c r="I10" s="93">
        <v>40</v>
      </c>
      <c r="J10" s="93">
        <v>40</v>
      </c>
      <c r="K10" s="93">
        <v>40</v>
      </c>
      <c r="L10" s="93">
        <v>40</v>
      </c>
      <c r="M10" s="93">
        <v>40</v>
      </c>
    </row>
    <row r="11" spans="7:13" x14ac:dyDescent="0.25">
      <c r="G11" s="48" t="s">
        <v>45</v>
      </c>
      <c r="H11" s="92">
        <v>10</v>
      </c>
      <c r="I11" s="93">
        <v>15</v>
      </c>
      <c r="J11" s="93">
        <v>14</v>
      </c>
      <c r="K11" s="93">
        <v>15</v>
      </c>
      <c r="L11" s="93">
        <v>20</v>
      </c>
      <c r="M11" s="93">
        <v>31</v>
      </c>
    </row>
    <row r="12" spans="7:13" x14ac:dyDescent="0.25">
      <c r="G12" s="48" t="s">
        <v>46</v>
      </c>
      <c r="H12" s="92">
        <v>120</v>
      </c>
      <c r="I12" s="93">
        <v>150</v>
      </c>
      <c r="J12" s="93">
        <v>130</v>
      </c>
      <c r="K12" s="93">
        <v>200</v>
      </c>
      <c r="L12" s="93">
        <v>150</v>
      </c>
      <c r="M12" s="93">
        <v>190</v>
      </c>
    </row>
    <row r="13" spans="7:13" x14ac:dyDescent="0.25">
      <c r="G13" s="48" t="s">
        <v>47</v>
      </c>
      <c r="H13" s="92">
        <v>50</v>
      </c>
      <c r="I13" s="93">
        <v>60</v>
      </c>
      <c r="J13" s="93">
        <v>65</v>
      </c>
      <c r="K13" s="93">
        <v>70</v>
      </c>
      <c r="L13" s="93">
        <v>65</v>
      </c>
      <c r="M13" s="93">
        <v>85</v>
      </c>
    </row>
    <row r="14" spans="7:13" x14ac:dyDescent="0.25">
      <c r="G14" s="48" t="s">
        <v>48</v>
      </c>
      <c r="H14" s="92">
        <v>145</v>
      </c>
      <c r="I14" s="93">
        <v>145</v>
      </c>
      <c r="J14" s="93">
        <v>145</v>
      </c>
      <c r="K14" s="93">
        <v>145</v>
      </c>
      <c r="L14" s="93">
        <v>100</v>
      </c>
      <c r="M14" s="93">
        <v>145</v>
      </c>
    </row>
    <row r="15" spans="7:13" x14ac:dyDescent="0.25">
      <c r="G15" s="94" t="s">
        <v>31</v>
      </c>
      <c r="H15" s="94" t="s">
        <v>31</v>
      </c>
      <c r="I15" s="94" t="s">
        <v>31</v>
      </c>
      <c r="J15" s="94" t="s">
        <v>31</v>
      </c>
      <c r="K15" s="94" t="s">
        <v>31</v>
      </c>
      <c r="L15" s="94" t="s">
        <v>31</v>
      </c>
      <c r="M15" s="94" t="s">
        <v>31</v>
      </c>
    </row>
    <row r="16" spans="7:13" x14ac:dyDescent="0.25">
      <c r="G16" s="48" t="s">
        <v>49</v>
      </c>
      <c r="H16" s="95">
        <f>SUM(H7:H14)</f>
        <v>725</v>
      </c>
      <c r="I16" s="95">
        <f t="shared" ref="I16:M16" si="0">SUM(I7:I14)</f>
        <v>735</v>
      </c>
      <c r="J16" s="95">
        <f t="shared" si="0"/>
        <v>763</v>
      </c>
      <c r="K16" s="95">
        <f t="shared" si="0"/>
        <v>837</v>
      </c>
      <c r="L16" s="95">
        <f t="shared" si="0"/>
        <v>641</v>
      </c>
      <c r="M16" s="95">
        <f t="shared" si="0"/>
        <v>758</v>
      </c>
    </row>
    <row r="17" spans="1:13" ht="15" customHeight="1" x14ac:dyDescent="0.25">
      <c r="G17" s="94" t="s">
        <v>31</v>
      </c>
      <c r="H17" s="94" t="s">
        <v>31</v>
      </c>
      <c r="I17" s="94" t="s">
        <v>31</v>
      </c>
      <c r="J17" s="94" t="s">
        <v>31</v>
      </c>
      <c r="K17" s="94" t="s">
        <v>31</v>
      </c>
      <c r="L17" s="94" t="s">
        <v>31</v>
      </c>
      <c r="M17" s="94" t="s">
        <v>31</v>
      </c>
    </row>
    <row r="18" spans="1:13" x14ac:dyDescent="0.25">
      <c r="G18" s="48" t="s">
        <v>50</v>
      </c>
      <c r="H18" s="95">
        <f>H5-H16</f>
        <v>-225</v>
      </c>
      <c r="I18" s="95">
        <f t="shared" ref="I18:M18" si="1">I5-I16</f>
        <v>15</v>
      </c>
      <c r="J18" s="95">
        <f t="shared" si="1"/>
        <v>37</v>
      </c>
      <c r="K18" s="95">
        <f>K5-K16</f>
        <v>-137</v>
      </c>
      <c r="L18" s="95">
        <f t="shared" si="1"/>
        <v>13</v>
      </c>
      <c r="M18" s="95">
        <f t="shared" si="1"/>
        <v>-58</v>
      </c>
    </row>
    <row r="19" spans="1:13" x14ac:dyDescent="0.25">
      <c r="A19" s="20" t="s">
        <v>31</v>
      </c>
    </row>
  </sheetData>
  <mergeCells count="2">
    <mergeCell ref="H2:L2"/>
    <mergeCell ref="H3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7323-0B6B-4EA9-933E-87E1E630A15A}">
  <dimension ref="B2:I14"/>
  <sheetViews>
    <sheetView workbookViewId="0">
      <selection activeCell="L17" sqref="L17"/>
    </sheetView>
  </sheetViews>
  <sheetFormatPr defaultRowHeight="15" x14ac:dyDescent="0.25"/>
  <cols>
    <col min="6" max="6" width="10.7109375" customWidth="1"/>
    <col min="8" max="8" width="13.42578125" customWidth="1"/>
    <col min="9" max="9" width="9.42578125" bestFit="1" customWidth="1"/>
  </cols>
  <sheetData>
    <row r="2" spans="2:9" x14ac:dyDescent="0.25">
      <c r="B2" s="20"/>
    </row>
    <row r="4" spans="2:9" x14ac:dyDescent="0.25">
      <c r="B4" s="105" t="s">
        <v>67</v>
      </c>
      <c r="C4" s="105"/>
      <c r="D4" s="105"/>
      <c r="E4" s="105"/>
      <c r="F4" s="105"/>
      <c r="G4" s="105"/>
      <c r="H4" s="105"/>
      <c r="I4" s="105"/>
    </row>
    <row r="5" spans="2:9" x14ac:dyDescent="0.25">
      <c r="B5" s="105"/>
      <c r="C5" s="105"/>
      <c r="D5" s="105"/>
      <c r="E5" s="105"/>
      <c r="F5" s="105"/>
      <c r="G5" s="105"/>
      <c r="H5" s="105"/>
      <c r="I5" s="105"/>
    </row>
    <row r="6" spans="2:9" ht="25.5" x14ac:dyDescent="0.25">
      <c r="B6" s="24" t="s">
        <v>51</v>
      </c>
      <c r="C6" s="25" t="s">
        <v>52</v>
      </c>
      <c r="D6" s="26" t="s">
        <v>53</v>
      </c>
      <c r="E6" s="25" t="s">
        <v>54</v>
      </c>
      <c r="F6" s="26" t="s">
        <v>55</v>
      </c>
      <c r="G6" s="27" t="s">
        <v>56</v>
      </c>
      <c r="H6" s="24" t="s">
        <v>57</v>
      </c>
      <c r="I6" s="26" t="s">
        <v>58</v>
      </c>
    </row>
    <row r="7" spans="2:9" x14ac:dyDescent="0.25">
      <c r="B7" s="27">
        <v>1</v>
      </c>
      <c r="C7" s="24" t="s">
        <v>59</v>
      </c>
      <c r="D7" s="28">
        <v>853</v>
      </c>
      <c r="E7" s="29">
        <v>0.1</v>
      </c>
      <c r="F7" s="29">
        <v>0.09</v>
      </c>
      <c r="G7" s="96">
        <f>D7*E7</f>
        <v>85.300000000000011</v>
      </c>
      <c r="H7" s="96">
        <f>D7*F7</f>
        <v>76.77</v>
      </c>
      <c r="I7" s="97">
        <f>D7+H7-G7</f>
        <v>844.47</v>
      </c>
    </row>
    <row r="8" spans="2:9" x14ac:dyDescent="0.25">
      <c r="B8" s="27">
        <v>2</v>
      </c>
      <c r="C8" s="24" t="s">
        <v>60</v>
      </c>
      <c r="D8" s="28">
        <v>951</v>
      </c>
      <c r="E8" s="29">
        <v>9.9900000000000003E-2</v>
      </c>
      <c r="F8" s="29">
        <v>0.08</v>
      </c>
      <c r="G8" s="96">
        <f t="shared" ref="G8:G14" si="0">D8*E8</f>
        <v>95.004900000000006</v>
      </c>
      <c r="H8" s="96">
        <f t="shared" ref="H8:H14" si="1">D8*F8</f>
        <v>76.08</v>
      </c>
      <c r="I8" s="97">
        <f t="shared" ref="I8:I14" si="2">D8+H8-G8</f>
        <v>932.07509999999991</v>
      </c>
    </row>
    <row r="9" spans="2:9" x14ac:dyDescent="0.25">
      <c r="B9" s="27">
        <v>3</v>
      </c>
      <c r="C9" s="24" t="s">
        <v>61</v>
      </c>
      <c r="D9" s="28">
        <v>456</v>
      </c>
      <c r="E9" s="29">
        <v>8.6400000000000005E-2</v>
      </c>
      <c r="F9" s="29">
        <v>0.06</v>
      </c>
      <c r="G9" s="96">
        <f t="shared" si="0"/>
        <v>39.398400000000002</v>
      </c>
      <c r="H9" s="96">
        <f t="shared" si="1"/>
        <v>27.36</v>
      </c>
      <c r="I9" s="97">
        <f t="shared" si="2"/>
        <v>443.96160000000003</v>
      </c>
    </row>
    <row r="10" spans="2:9" x14ac:dyDescent="0.25">
      <c r="B10" s="27">
        <v>4</v>
      </c>
      <c r="C10" s="24" t="s">
        <v>62</v>
      </c>
      <c r="D10" s="28">
        <v>500</v>
      </c>
      <c r="E10" s="29">
        <v>8.5000000000000006E-2</v>
      </c>
      <c r="F10" s="29">
        <v>0.06</v>
      </c>
      <c r="G10" s="96">
        <f t="shared" si="0"/>
        <v>42.5</v>
      </c>
      <c r="H10" s="96">
        <f t="shared" si="1"/>
        <v>30</v>
      </c>
      <c r="I10" s="97">
        <f t="shared" si="2"/>
        <v>487.5</v>
      </c>
    </row>
    <row r="11" spans="2:9" x14ac:dyDescent="0.25">
      <c r="B11" s="27">
        <v>5</v>
      </c>
      <c r="C11" s="24" t="s">
        <v>63</v>
      </c>
      <c r="D11" s="28">
        <v>850</v>
      </c>
      <c r="E11" s="29">
        <v>8.9899999999999994E-2</v>
      </c>
      <c r="F11" s="29">
        <v>7.0000000000000007E-2</v>
      </c>
      <c r="G11" s="96">
        <f t="shared" si="0"/>
        <v>76.414999999999992</v>
      </c>
      <c r="H11" s="96">
        <f t="shared" si="1"/>
        <v>59.500000000000007</v>
      </c>
      <c r="I11" s="97">
        <f t="shared" si="2"/>
        <v>833.08500000000004</v>
      </c>
    </row>
    <row r="12" spans="2:9" x14ac:dyDescent="0.25">
      <c r="B12" s="27">
        <v>6</v>
      </c>
      <c r="C12" s="24" t="s">
        <v>64</v>
      </c>
      <c r="D12" s="28">
        <v>459</v>
      </c>
      <c r="E12" s="29">
        <v>6.25E-2</v>
      </c>
      <c r="F12" s="29">
        <v>0.05</v>
      </c>
      <c r="G12" s="96">
        <f t="shared" si="0"/>
        <v>28.6875</v>
      </c>
      <c r="H12" s="96">
        <f t="shared" si="1"/>
        <v>22.950000000000003</v>
      </c>
      <c r="I12" s="97">
        <f t="shared" si="2"/>
        <v>453.26249999999999</v>
      </c>
    </row>
    <row r="13" spans="2:9" x14ac:dyDescent="0.25">
      <c r="B13" s="27">
        <v>7</v>
      </c>
      <c r="C13" s="24" t="s">
        <v>65</v>
      </c>
      <c r="D13" s="28">
        <v>478</v>
      </c>
      <c r="E13" s="29">
        <v>7.1199999999999999E-2</v>
      </c>
      <c r="F13" s="29">
        <v>0.05</v>
      </c>
      <c r="G13" s="96">
        <f t="shared" si="0"/>
        <v>34.0336</v>
      </c>
      <c r="H13" s="96">
        <f t="shared" si="1"/>
        <v>23.900000000000002</v>
      </c>
      <c r="I13" s="97">
        <f t="shared" si="2"/>
        <v>467.8664</v>
      </c>
    </row>
    <row r="14" spans="2:9" x14ac:dyDescent="0.25">
      <c r="B14" s="27">
        <v>8</v>
      </c>
      <c r="C14" s="24" t="s">
        <v>66</v>
      </c>
      <c r="D14" s="28">
        <v>658</v>
      </c>
      <c r="E14" s="29">
        <v>5.9900000000000002E-2</v>
      </c>
      <c r="F14" s="29">
        <v>0.04</v>
      </c>
      <c r="G14" s="96">
        <f t="shared" si="0"/>
        <v>39.414200000000001</v>
      </c>
      <c r="H14" s="96">
        <f t="shared" si="1"/>
        <v>26.32</v>
      </c>
      <c r="I14" s="97">
        <f t="shared" si="2"/>
        <v>644.9058</v>
      </c>
    </row>
  </sheetData>
  <mergeCells count="1">
    <mergeCell ref="B4:I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96F0-0991-47D2-A8BF-566DE47B2F03}">
  <dimension ref="E3:I14"/>
  <sheetViews>
    <sheetView workbookViewId="0">
      <selection activeCell="I14" sqref="I14"/>
    </sheetView>
  </sheetViews>
  <sheetFormatPr defaultRowHeight="15" x14ac:dyDescent="0.25"/>
  <cols>
    <col min="8" max="8" width="11" bestFit="1" customWidth="1"/>
    <col min="9" max="9" width="11.42578125" bestFit="1" customWidth="1"/>
  </cols>
  <sheetData>
    <row r="3" spans="5:9" ht="15.75" thickBot="1" x14ac:dyDescent="0.3"/>
    <row r="4" spans="5:9" ht="26.25" thickBot="1" x14ac:dyDescent="0.3">
      <c r="E4" s="19" t="s">
        <v>68</v>
      </c>
      <c r="F4" s="30">
        <v>2.94</v>
      </c>
      <c r="G4" s="13" t="s">
        <v>31</v>
      </c>
      <c r="H4" s="13" t="s">
        <v>31</v>
      </c>
      <c r="I4" s="31"/>
    </row>
    <row r="5" spans="5:9" ht="15.75" thickBot="1" x14ac:dyDescent="0.3">
      <c r="E5" s="106" t="s">
        <v>69</v>
      </c>
      <c r="F5" s="107"/>
      <c r="G5" s="107"/>
      <c r="H5" s="32" t="s">
        <v>31</v>
      </c>
      <c r="I5" s="23" t="s">
        <v>31</v>
      </c>
    </row>
    <row r="6" spans="5:9" ht="26.25" thickBot="1" x14ac:dyDescent="0.3">
      <c r="E6" s="33" t="s">
        <v>70</v>
      </c>
      <c r="F6" s="23" t="s">
        <v>71</v>
      </c>
      <c r="G6" s="15" t="s">
        <v>72</v>
      </c>
      <c r="H6" s="23" t="s">
        <v>73</v>
      </c>
      <c r="I6" s="14" t="s">
        <v>74</v>
      </c>
    </row>
    <row r="7" spans="5:9" ht="26.25" thickBot="1" x14ac:dyDescent="0.3">
      <c r="E7" s="16" t="s">
        <v>75</v>
      </c>
      <c r="F7" s="21">
        <v>500</v>
      </c>
      <c r="G7" s="17">
        <v>0.15</v>
      </c>
      <c r="H7" s="98">
        <f>F7*G7</f>
        <v>75</v>
      </c>
      <c r="I7" s="34">
        <f>H7/F4</f>
        <v>25.510204081632654</v>
      </c>
    </row>
    <row r="8" spans="5:9" ht="26.25" thickBot="1" x14ac:dyDescent="0.3">
      <c r="E8" s="35" t="s">
        <v>76</v>
      </c>
      <c r="F8" s="21">
        <v>750</v>
      </c>
      <c r="G8" s="17">
        <v>0.15</v>
      </c>
      <c r="H8" s="98">
        <f t="shared" ref="H8:H13" si="0">F8*G8</f>
        <v>112.5</v>
      </c>
      <c r="I8" s="34">
        <f>H8/F4</f>
        <v>38.265306122448983</v>
      </c>
    </row>
    <row r="9" spans="5:9" ht="15.75" thickBot="1" x14ac:dyDescent="0.3">
      <c r="E9" s="16" t="s">
        <v>77</v>
      </c>
      <c r="F9" s="21">
        <v>250</v>
      </c>
      <c r="G9" s="17">
        <v>10</v>
      </c>
      <c r="H9" s="98">
        <f>F9*G9</f>
        <v>2500</v>
      </c>
      <c r="I9" s="34">
        <f>H9/F4</f>
        <v>850.34013605442181</v>
      </c>
    </row>
    <row r="10" spans="5:9" ht="15.75" thickBot="1" x14ac:dyDescent="0.3">
      <c r="E10" s="16" t="s">
        <v>78</v>
      </c>
      <c r="F10" s="21">
        <v>310</v>
      </c>
      <c r="G10" s="17">
        <v>0.5</v>
      </c>
      <c r="H10" s="98">
        <f t="shared" si="0"/>
        <v>155</v>
      </c>
      <c r="I10" s="34">
        <f>H10/F4</f>
        <v>52.721088435374149</v>
      </c>
    </row>
    <row r="11" spans="5:9" ht="15.75" thickBot="1" x14ac:dyDescent="0.3">
      <c r="E11" s="16" t="s">
        <v>79</v>
      </c>
      <c r="F11" s="21">
        <v>500</v>
      </c>
      <c r="G11" s="17">
        <v>0.1</v>
      </c>
      <c r="H11" s="98">
        <f t="shared" si="0"/>
        <v>50</v>
      </c>
      <c r="I11" s="34">
        <f>H11/F4</f>
        <v>17.006802721088437</v>
      </c>
    </row>
    <row r="12" spans="5:9" ht="26.25" thickBot="1" x14ac:dyDescent="0.3">
      <c r="E12" s="16" t="s">
        <v>80</v>
      </c>
      <c r="F12" s="21">
        <v>1500</v>
      </c>
      <c r="G12" s="17">
        <v>2.5</v>
      </c>
      <c r="H12" s="98">
        <f t="shared" si="0"/>
        <v>3750</v>
      </c>
      <c r="I12" s="34">
        <f>H12/F4</f>
        <v>1275.5102040816328</v>
      </c>
    </row>
    <row r="13" spans="5:9" ht="26.25" thickBot="1" x14ac:dyDescent="0.3">
      <c r="E13" s="16" t="s">
        <v>81</v>
      </c>
      <c r="F13" s="21">
        <v>190</v>
      </c>
      <c r="G13" s="17">
        <v>6</v>
      </c>
      <c r="H13" s="98">
        <f t="shared" si="0"/>
        <v>1140</v>
      </c>
      <c r="I13" s="34">
        <f>H13/F4</f>
        <v>387.75510204081633</v>
      </c>
    </row>
    <row r="14" spans="5:9" x14ac:dyDescent="0.25">
      <c r="E14" s="36" t="s">
        <v>31</v>
      </c>
    </row>
  </sheetData>
  <mergeCells count="1">
    <mergeCell ref="E5:G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FDD9-E580-4BDA-B3C8-394855387534}">
  <dimension ref="D5:J22"/>
  <sheetViews>
    <sheetView topLeftCell="A4" workbookViewId="0">
      <selection activeCell="F24" sqref="F24"/>
    </sheetView>
  </sheetViews>
  <sheetFormatPr defaultRowHeight="15" x14ac:dyDescent="0.25"/>
  <cols>
    <col min="4" max="4" width="13.42578125" customWidth="1"/>
    <col min="5" max="5" width="14.85546875" customWidth="1"/>
    <col min="6" max="7" width="15.7109375" customWidth="1"/>
    <col min="8" max="8" width="14.140625" customWidth="1"/>
    <col min="9" max="9" width="11.28515625" bestFit="1" customWidth="1"/>
  </cols>
  <sheetData>
    <row r="5" spans="4:10" x14ac:dyDescent="0.25">
      <c r="D5" s="37" t="s">
        <v>31</v>
      </c>
      <c r="E5" s="37" t="s">
        <v>82</v>
      </c>
      <c r="F5" s="37" t="s">
        <v>31</v>
      </c>
      <c r="G5" s="37" t="s">
        <v>31</v>
      </c>
      <c r="H5" s="39"/>
    </row>
    <row r="6" spans="4:10" x14ac:dyDescent="0.25">
      <c r="D6" s="105" t="s">
        <v>100</v>
      </c>
      <c r="E6" s="105"/>
      <c r="F6" s="105"/>
      <c r="G6" s="105"/>
      <c r="H6" s="105"/>
      <c r="I6" s="105"/>
      <c r="J6" s="22"/>
    </row>
    <row r="7" spans="4:10" ht="25.5" x14ac:dyDescent="0.25">
      <c r="D7" s="43" t="s">
        <v>83</v>
      </c>
      <c r="E7" s="43" t="s">
        <v>84</v>
      </c>
      <c r="F7" s="43" t="s">
        <v>85</v>
      </c>
      <c r="G7" s="43" t="s">
        <v>86</v>
      </c>
      <c r="H7" s="43" t="s">
        <v>87</v>
      </c>
      <c r="I7" s="44" t="s">
        <v>88</v>
      </c>
    </row>
    <row r="8" spans="4:10" x14ac:dyDescent="0.25">
      <c r="D8" s="45" t="s">
        <v>31</v>
      </c>
      <c r="E8" s="46">
        <v>140000</v>
      </c>
      <c r="F8" s="46">
        <v>185000</v>
      </c>
      <c r="G8" s="46">
        <v>204100</v>
      </c>
      <c r="H8" s="46">
        <v>240000</v>
      </c>
      <c r="I8" s="99">
        <f>SUM(E8:H8)</f>
        <v>769100</v>
      </c>
    </row>
    <row r="9" spans="4:10" x14ac:dyDescent="0.25">
      <c r="D9" s="38" t="s">
        <v>31</v>
      </c>
      <c r="E9" s="38" t="s">
        <v>31</v>
      </c>
      <c r="F9" s="38" t="s">
        <v>31</v>
      </c>
      <c r="G9" s="38" t="s">
        <v>31</v>
      </c>
      <c r="H9" s="38" t="s">
        <v>31</v>
      </c>
      <c r="I9" s="39" t="s">
        <v>31</v>
      </c>
      <c r="J9" s="22"/>
    </row>
    <row r="10" spans="4:10" ht="25.5" x14ac:dyDescent="0.25">
      <c r="D10" s="47" t="s">
        <v>89</v>
      </c>
      <c r="E10" s="43" t="s">
        <v>84</v>
      </c>
      <c r="F10" s="43" t="s">
        <v>85</v>
      </c>
      <c r="G10" s="43" t="s">
        <v>86</v>
      </c>
      <c r="H10" s="43" t="s">
        <v>87</v>
      </c>
      <c r="I10" s="44" t="s">
        <v>88</v>
      </c>
    </row>
    <row r="11" spans="4:10" x14ac:dyDescent="0.25">
      <c r="D11" s="48" t="s">
        <v>90</v>
      </c>
      <c r="E11" s="49">
        <v>20000</v>
      </c>
      <c r="F11" s="49">
        <v>26000</v>
      </c>
      <c r="G11" s="49">
        <v>33800</v>
      </c>
      <c r="H11" s="49">
        <v>43940</v>
      </c>
      <c r="I11" s="100">
        <f>SUM(E11:H11)</f>
        <v>123740</v>
      </c>
    </row>
    <row r="12" spans="4:10" x14ac:dyDescent="0.25">
      <c r="D12" s="48" t="s">
        <v>91</v>
      </c>
      <c r="E12" s="49">
        <v>20000</v>
      </c>
      <c r="F12" s="49">
        <v>15600</v>
      </c>
      <c r="G12" s="49">
        <v>20280</v>
      </c>
      <c r="H12" s="49">
        <v>26364</v>
      </c>
      <c r="I12" s="100">
        <f t="shared" ref="I12:I16" si="0">SUM(E12:H12)</f>
        <v>82244</v>
      </c>
    </row>
    <row r="13" spans="4:10" x14ac:dyDescent="0.25">
      <c r="D13" s="48" t="s">
        <v>92</v>
      </c>
      <c r="E13" s="49">
        <v>12000</v>
      </c>
      <c r="F13" s="49">
        <v>20930</v>
      </c>
      <c r="G13" s="49">
        <v>27209</v>
      </c>
      <c r="H13" s="49">
        <v>35371.699999999997</v>
      </c>
      <c r="I13" s="100">
        <f t="shared" si="0"/>
        <v>95510.7</v>
      </c>
    </row>
    <row r="14" spans="4:10" x14ac:dyDescent="0.25">
      <c r="D14" s="48" t="s">
        <v>93</v>
      </c>
      <c r="E14" s="49">
        <v>16100</v>
      </c>
      <c r="F14" s="49">
        <v>28870</v>
      </c>
      <c r="G14" s="49">
        <v>33631</v>
      </c>
      <c r="H14" s="49">
        <v>43720.3</v>
      </c>
      <c r="I14" s="100">
        <f t="shared" si="0"/>
        <v>122321.3</v>
      </c>
    </row>
    <row r="15" spans="4:10" x14ac:dyDescent="0.25">
      <c r="D15" s="48" t="s">
        <v>94</v>
      </c>
      <c r="E15" s="49">
        <v>19900</v>
      </c>
      <c r="F15" s="49">
        <v>39000</v>
      </c>
      <c r="G15" s="49">
        <v>50700</v>
      </c>
      <c r="H15" s="49">
        <v>65910</v>
      </c>
      <c r="I15" s="100">
        <f t="shared" si="0"/>
        <v>175510</v>
      </c>
    </row>
    <row r="16" spans="4:10" x14ac:dyDescent="0.25">
      <c r="D16" s="48" t="s">
        <v>95</v>
      </c>
      <c r="E16" s="49">
        <v>25000</v>
      </c>
      <c r="F16" s="49">
        <v>32500</v>
      </c>
      <c r="G16" s="49">
        <v>42250</v>
      </c>
      <c r="H16" s="49">
        <v>54925</v>
      </c>
      <c r="I16" s="100">
        <f t="shared" si="0"/>
        <v>154675</v>
      </c>
    </row>
    <row r="19" spans="4:9" x14ac:dyDescent="0.25">
      <c r="D19" s="48" t="s">
        <v>96</v>
      </c>
      <c r="E19" s="49">
        <f>SUM(E11:E16)</f>
        <v>113000</v>
      </c>
      <c r="F19" s="49">
        <f t="shared" ref="F19:H19" si="1">SUM(F11:F16)</f>
        <v>162900</v>
      </c>
      <c r="G19" s="49">
        <f t="shared" si="1"/>
        <v>207870</v>
      </c>
      <c r="H19" s="49">
        <f t="shared" si="1"/>
        <v>270231</v>
      </c>
    </row>
    <row r="20" spans="4:9" x14ac:dyDescent="0.25">
      <c r="D20" s="48" t="s">
        <v>97</v>
      </c>
      <c r="E20" s="49">
        <f>E8-E19</f>
        <v>27000</v>
      </c>
      <c r="F20" s="49">
        <f t="shared" ref="F20:H20" si="2">F8-F19</f>
        <v>22100</v>
      </c>
      <c r="G20" s="49">
        <f t="shared" si="2"/>
        <v>-3770</v>
      </c>
      <c r="H20" s="49">
        <f t="shared" si="2"/>
        <v>-30231</v>
      </c>
    </row>
    <row r="21" spans="4:9" x14ac:dyDescent="0.25">
      <c r="D21" s="48" t="s">
        <v>98</v>
      </c>
      <c r="E21" s="43" t="str">
        <f>IF(E20&lt;5000,"Prejuízo Total",IF(E20&lt;=5000,"Lucro Médio",IF(E20&gt;5000,"Lucro Total")))</f>
        <v>Lucro Total</v>
      </c>
      <c r="F21" s="43" t="str">
        <f t="shared" ref="F21:H21" si="3">IF(F20&lt;5000,"Prejuízo Total",IF(F20&lt;=5000,"Lucro Médio",IF(F20&gt;5000,"Lucro Total")))</f>
        <v>Lucro Total</v>
      </c>
      <c r="G21" s="43" t="str">
        <f t="shared" si="3"/>
        <v>Prejuízo Total</v>
      </c>
      <c r="H21" s="43" t="str">
        <f t="shared" si="3"/>
        <v>Prejuízo Total</v>
      </c>
    </row>
    <row r="22" spans="4:9" x14ac:dyDescent="0.25">
      <c r="D22" s="42" t="s">
        <v>31</v>
      </c>
      <c r="E22" s="42" t="s">
        <v>31</v>
      </c>
      <c r="F22" s="108" t="s">
        <v>99</v>
      </c>
      <c r="G22" s="108"/>
      <c r="H22" s="108"/>
      <c r="I22" s="10">
        <f>SUM(I11:I16)</f>
        <v>754001</v>
      </c>
    </row>
  </sheetData>
  <mergeCells count="2">
    <mergeCell ref="F22:H22"/>
    <mergeCell ref="D6:I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6D53-724B-4580-A199-246D82BE3B75}">
  <dimension ref="E3:K12"/>
  <sheetViews>
    <sheetView workbookViewId="0">
      <selection activeCell="I18" sqref="I18"/>
    </sheetView>
  </sheetViews>
  <sheetFormatPr defaultRowHeight="15" x14ac:dyDescent="0.25"/>
  <cols>
    <col min="5" max="5" width="20.140625" customWidth="1"/>
    <col min="6" max="6" width="12.28515625" bestFit="1" customWidth="1"/>
    <col min="7" max="7" width="48.28515625" customWidth="1"/>
    <col min="8" max="8" width="12.28515625" bestFit="1" customWidth="1"/>
    <col min="10" max="10" width="13" customWidth="1"/>
  </cols>
  <sheetData>
    <row r="3" spans="5:11" ht="15" customHeight="1" x14ac:dyDescent="0.25">
      <c r="E3" s="111" t="s">
        <v>115</v>
      </c>
      <c r="F3" s="111"/>
      <c r="G3" s="111"/>
      <c r="H3" s="111"/>
      <c r="I3" s="41"/>
    </row>
    <row r="4" spans="5:11" x14ac:dyDescent="0.25">
      <c r="E4" s="48" t="s">
        <v>101</v>
      </c>
      <c r="F4" s="48" t="s">
        <v>102</v>
      </c>
      <c r="G4" s="48" t="s">
        <v>103</v>
      </c>
      <c r="H4" s="48" t="s">
        <v>104</v>
      </c>
      <c r="I4" s="41"/>
      <c r="J4" s="48" t="s">
        <v>113</v>
      </c>
      <c r="K4" s="54">
        <v>0.4</v>
      </c>
    </row>
    <row r="5" spans="5:11" x14ac:dyDescent="0.25">
      <c r="E5" s="48" t="s">
        <v>105</v>
      </c>
      <c r="F5" s="55">
        <v>900</v>
      </c>
      <c r="G5" s="101" t="str">
        <f>IF(F5&lt;=1000,("40%"), IF(F5&gt;1000,(" 30%")))</f>
        <v>40%</v>
      </c>
      <c r="H5" s="55">
        <f>F5*G5+F5</f>
        <v>1260</v>
      </c>
      <c r="I5" s="41"/>
      <c r="J5" s="48" t="s">
        <v>114</v>
      </c>
      <c r="K5" s="54">
        <v>0.3</v>
      </c>
    </row>
    <row r="6" spans="5:11" x14ac:dyDescent="0.25">
      <c r="E6" s="48" t="s">
        <v>106</v>
      </c>
      <c r="F6" s="55">
        <v>1200</v>
      </c>
      <c r="G6" s="101" t="str">
        <f t="shared" ref="G6:G12" si="0">IF(F6&lt;=1000,("40%"), IF(F6&gt;1000,(" 30%")))</f>
        <v xml:space="preserve"> 30%</v>
      </c>
      <c r="H6" s="55">
        <f t="shared" ref="H6:H12" si="1">F6*G6+F6</f>
        <v>1560</v>
      </c>
      <c r="I6" s="109"/>
      <c r="J6" s="109"/>
    </row>
    <row r="7" spans="5:11" x14ac:dyDescent="0.25">
      <c r="E7" s="48" t="s">
        <v>107</v>
      </c>
      <c r="F7" s="55">
        <v>1500</v>
      </c>
      <c r="G7" s="101" t="str">
        <f t="shared" si="0"/>
        <v xml:space="preserve"> 30%</v>
      </c>
      <c r="H7" s="55">
        <f t="shared" si="1"/>
        <v>1950</v>
      </c>
      <c r="I7" s="109"/>
      <c r="J7" s="110"/>
    </row>
    <row r="8" spans="5:11" x14ac:dyDescent="0.25">
      <c r="E8" s="48" t="s">
        <v>108</v>
      </c>
      <c r="F8" s="55">
        <v>2000</v>
      </c>
      <c r="G8" s="101" t="str">
        <f t="shared" si="0"/>
        <v xml:space="preserve"> 30%</v>
      </c>
      <c r="H8" s="55">
        <f t="shared" si="1"/>
        <v>2600</v>
      </c>
      <c r="I8" s="109"/>
      <c r="J8" s="110"/>
    </row>
    <row r="9" spans="5:11" x14ac:dyDescent="0.25">
      <c r="E9" s="48" t="s">
        <v>109</v>
      </c>
      <c r="F9" s="55">
        <v>1400</v>
      </c>
      <c r="G9" s="101" t="str">
        <f t="shared" si="0"/>
        <v xml:space="preserve"> 30%</v>
      </c>
      <c r="H9" s="55">
        <f t="shared" si="1"/>
        <v>1820</v>
      </c>
      <c r="I9" s="109"/>
      <c r="J9" s="110"/>
    </row>
    <row r="10" spans="5:11" x14ac:dyDescent="0.25">
      <c r="E10" s="48" t="s">
        <v>110</v>
      </c>
      <c r="F10" s="55">
        <v>990</v>
      </c>
      <c r="G10" s="101" t="str">
        <f>IF(F10&lt;=1000,("40%"), IF(F10&gt;1000,(" 30%")))</f>
        <v>40%</v>
      </c>
      <c r="H10" s="55">
        <f t="shared" si="1"/>
        <v>1386</v>
      </c>
      <c r="I10" s="109"/>
      <c r="J10" s="110"/>
    </row>
    <row r="11" spans="5:11" x14ac:dyDescent="0.25">
      <c r="E11" s="48" t="s">
        <v>111</v>
      </c>
      <c r="F11" s="55">
        <v>854</v>
      </c>
      <c r="G11" s="101" t="str">
        <f t="shared" si="0"/>
        <v>40%</v>
      </c>
      <c r="H11" s="55">
        <f t="shared" si="1"/>
        <v>1195.5999999999999</v>
      </c>
      <c r="I11" s="109"/>
      <c r="J11" s="110"/>
    </row>
    <row r="12" spans="5:11" x14ac:dyDescent="0.25">
      <c r="E12" s="48" t="s">
        <v>112</v>
      </c>
      <c r="F12" s="55">
        <v>1100</v>
      </c>
      <c r="G12" s="101" t="str">
        <f t="shared" si="0"/>
        <v xml:space="preserve"> 30%</v>
      </c>
      <c r="H12" s="55">
        <f t="shared" si="1"/>
        <v>1430</v>
      </c>
      <c r="I12" s="109"/>
      <c r="J12" s="110"/>
    </row>
  </sheetData>
  <mergeCells count="8">
    <mergeCell ref="I10:J10"/>
    <mergeCell ref="I11:J11"/>
    <mergeCell ref="I12:J12"/>
    <mergeCell ref="E3:H3"/>
    <mergeCell ref="I6:J6"/>
    <mergeCell ref="I7:J7"/>
    <mergeCell ref="I8:J8"/>
    <mergeCell ref="I9:J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F394-AAAF-4B69-A586-29C9B1915B18}">
  <dimension ref="A1:I27"/>
  <sheetViews>
    <sheetView tabSelected="1" workbookViewId="0">
      <selection activeCell="C33" sqref="C33"/>
    </sheetView>
  </sheetViews>
  <sheetFormatPr defaultRowHeight="15" x14ac:dyDescent="0.25"/>
  <cols>
    <col min="2" max="2" width="33.7109375" customWidth="1"/>
    <col min="3" max="3" width="41.5703125" customWidth="1"/>
    <col min="4" max="4" width="19.42578125" customWidth="1"/>
    <col min="5" max="5" width="19.140625" customWidth="1"/>
    <col min="6" max="6" width="27" customWidth="1"/>
    <col min="7" max="7" width="17.85546875" customWidth="1"/>
    <col min="8" max="8" width="15.85546875" customWidth="1"/>
  </cols>
  <sheetData>
    <row r="1" spans="1:5" ht="15" customHeight="1" x14ac:dyDescent="0.25">
      <c r="A1" s="56" t="s">
        <v>101</v>
      </c>
      <c r="B1" s="56" t="s">
        <v>116</v>
      </c>
      <c r="C1" s="56" t="s">
        <v>117</v>
      </c>
      <c r="D1" s="56" t="s">
        <v>118</v>
      </c>
      <c r="E1" s="56" t="s">
        <v>119</v>
      </c>
    </row>
    <row r="2" spans="1:5" ht="15" customHeight="1" x14ac:dyDescent="0.25">
      <c r="A2" s="57" t="s">
        <v>120</v>
      </c>
      <c r="B2" s="57" t="s">
        <v>121</v>
      </c>
      <c r="C2" s="57" t="s">
        <v>122</v>
      </c>
      <c r="D2" s="57" t="s">
        <v>123</v>
      </c>
      <c r="E2" s="57" t="s">
        <v>124</v>
      </c>
    </row>
    <row r="3" spans="1:5" ht="15" customHeight="1" x14ac:dyDescent="0.25">
      <c r="A3" s="57" t="s">
        <v>59</v>
      </c>
      <c r="B3" s="57" t="s">
        <v>125</v>
      </c>
      <c r="C3" s="57" t="s">
        <v>126</v>
      </c>
      <c r="D3" s="57" t="s">
        <v>127</v>
      </c>
      <c r="E3" s="57" t="s">
        <v>128</v>
      </c>
    </row>
    <row r="4" spans="1:5" ht="15" customHeight="1" x14ac:dyDescent="0.25">
      <c r="A4" s="57" t="s">
        <v>129</v>
      </c>
      <c r="B4" s="57" t="s">
        <v>130</v>
      </c>
      <c r="C4" s="57" t="s">
        <v>131</v>
      </c>
      <c r="D4" s="57" t="s">
        <v>132</v>
      </c>
      <c r="E4" s="57" t="s">
        <v>133</v>
      </c>
    </row>
    <row r="5" spans="1:5" ht="15" customHeight="1" x14ac:dyDescent="0.25">
      <c r="A5" s="57" t="s">
        <v>134</v>
      </c>
      <c r="B5" s="57" t="s">
        <v>135</v>
      </c>
      <c r="C5" s="58" t="s">
        <v>136</v>
      </c>
      <c r="D5" s="57" t="s">
        <v>137</v>
      </c>
      <c r="E5" s="57" t="s">
        <v>128</v>
      </c>
    </row>
    <row r="6" spans="1:5" ht="15" customHeight="1" x14ac:dyDescent="0.25">
      <c r="A6" s="57" t="s">
        <v>62</v>
      </c>
      <c r="B6" s="57" t="s">
        <v>138</v>
      </c>
      <c r="C6" s="57" t="s">
        <v>139</v>
      </c>
      <c r="D6" s="57" t="s">
        <v>140</v>
      </c>
      <c r="E6" s="57" t="s">
        <v>128</v>
      </c>
    </row>
    <row r="7" spans="1:5" ht="15" customHeight="1" x14ac:dyDescent="0.25">
      <c r="A7" s="57" t="s">
        <v>61</v>
      </c>
      <c r="B7" s="57" t="s">
        <v>141</v>
      </c>
      <c r="C7" s="57" t="s">
        <v>122</v>
      </c>
      <c r="D7" s="57" t="s">
        <v>142</v>
      </c>
      <c r="E7" s="57" t="s">
        <v>143</v>
      </c>
    </row>
    <row r="8" spans="1:5" ht="15" customHeight="1" x14ac:dyDescent="0.25">
      <c r="A8" s="57" t="s">
        <v>144</v>
      </c>
      <c r="B8" s="57" t="s">
        <v>145</v>
      </c>
      <c r="C8" s="57" t="s">
        <v>146</v>
      </c>
      <c r="D8" s="57" t="s">
        <v>147</v>
      </c>
      <c r="E8" s="57" t="s">
        <v>128</v>
      </c>
    </row>
    <row r="9" spans="1:5" ht="15" customHeight="1" x14ac:dyDescent="0.25">
      <c r="A9" s="57" t="s">
        <v>148</v>
      </c>
      <c r="B9" s="57" t="s">
        <v>149</v>
      </c>
      <c r="C9" s="57" t="s">
        <v>150</v>
      </c>
      <c r="D9" s="57" t="s">
        <v>151</v>
      </c>
      <c r="E9" s="57" t="s">
        <v>128</v>
      </c>
    </row>
    <row r="10" spans="1:5" ht="15" customHeight="1" x14ac:dyDescent="0.25">
      <c r="A10" s="57" t="s">
        <v>152</v>
      </c>
      <c r="B10" s="57" t="s">
        <v>153</v>
      </c>
      <c r="C10" s="57" t="s">
        <v>154</v>
      </c>
      <c r="D10" s="57" t="s">
        <v>155</v>
      </c>
      <c r="E10" s="57" t="s">
        <v>156</v>
      </c>
    </row>
    <row r="11" spans="1:5" ht="15" customHeight="1" x14ac:dyDescent="0.25">
      <c r="A11" s="57" t="s">
        <v>157</v>
      </c>
      <c r="B11" s="57" t="s">
        <v>158</v>
      </c>
      <c r="C11" s="57" t="s">
        <v>159</v>
      </c>
      <c r="D11" s="57" t="s">
        <v>160</v>
      </c>
      <c r="E11" s="57" t="s">
        <v>161</v>
      </c>
    </row>
    <row r="12" spans="1:5" ht="15" customHeight="1" x14ac:dyDescent="0.25">
      <c r="A12" s="57" t="s">
        <v>162</v>
      </c>
      <c r="B12" s="57" t="s">
        <v>163</v>
      </c>
      <c r="C12" s="57" t="s">
        <v>164</v>
      </c>
      <c r="D12" s="57" t="s">
        <v>137</v>
      </c>
      <c r="E12" s="57" t="s">
        <v>128</v>
      </c>
    </row>
    <row r="13" spans="1:5" ht="15" customHeight="1" x14ac:dyDescent="0.25">
      <c r="A13" s="57" t="s">
        <v>165</v>
      </c>
      <c r="B13" s="57" t="s">
        <v>166</v>
      </c>
      <c r="C13" s="57" t="s">
        <v>167</v>
      </c>
      <c r="D13" s="57" t="s">
        <v>127</v>
      </c>
      <c r="E13" s="57" t="s">
        <v>128</v>
      </c>
    </row>
    <row r="14" spans="1:5" ht="15" customHeight="1" x14ac:dyDescent="0.25">
      <c r="A14" s="57" t="s">
        <v>168</v>
      </c>
      <c r="B14" s="57" t="s">
        <v>169</v>
      </c>
      <c r="C14" s="57" t="s">
        <v>122</v>
      </c>
      <c r="D14" s="57" t="s">
        <v>170</v>
      </c>
      <c r="E14" s="57" t="s">
        <v>171</v>
      </c>
    </row>
    <row r="15" spans="1:5" ht="15" customHeight="1" x14ac:dyDescent="0.25">
      <c r="A15" s="57" t="s">
        <v>172</v>
      </c>
      <c r="B15" s="57" t="s">
        <v>173</v>
      </c>
      <c r="C15" s="57" t="s">
        <v>174</v>
      </c>
      <c r="D15" s="57" t="s">
        <v>175</v>
      </c>
      <c r="E15" s="57" t="s">
        <v>176</v>
      </c>
    </row>
    <row r="16" spans="1:5" ht="15" customHeight="1" x14ac:dyDescent="0.25">
      <c r="A16" s="57" t="s">
        <v>177</v>
      </c>
      <c r="B16" s="57" t="s">
        <v>178</v>
      </c>
      <c r="C16" s="57" t="s">
        <v>179</v>
      </c>
      <c r="D16" s="57" t="s">
        <v>180</v>
      </c>
      <c r="E16" s="57" t="s">
        <v>181</v>
      </c>
    </row>
    <row r="17" spans="1:9" ht="15" customHeight="1" x14ac:dyDescent="0.25"/>
    <row r="18" spans="1:9" ht="15" customHeight="1" x14ac:dyDescent="0.25"/>
    <row r="19" spans="1:9" ht="15" customHeight="1" x14ac:dyDescent="0.25"/>
    <row r="20" spans="1:9" ht="15" customHeight="1" x14ac:dyDescent="0.25">
      <c r="A20" s="48" t="s">
        <v>101</v>
      </c>
      <c r="B20" s="48" t="s">
        <v>225</v>
      </c>
    </row>
    <row r="21" spans="1:9" ht="15" customHeight="1" x14ac:dyDescent="0.25">
      <c r="A21" s="48" t="s">
        <v>116</v>
      </c>
      <c r="B21" s="48" t="str">
        <f>VLOOKUP(B20,A14:E14,(2))</f>
        <v xml:space="preserve">Al. dos Laranjais, 99  </v>
      </c>
      <c r="G21" s="39" t="s">
        <v>31</v>
      </c>
      <c r="H21" s="39" t="s">
        <v>31</v>
      </c>
    </row>
    <row r="22" spans="1:9" x14ac:dyDescent="0.25">
      <c r="A22" s="48" t="s">
        <v>117</v>
      </c>
      <c r="B22" s="51" t="str">
        <f>VLOOKUP(B20,A14:E14,(3))</f>
        <v xml:space="preserve">Centro  </v>
      </c>
      <c r="G22" s="39" t="s">
        <v>31</v>
      </c>
      <c r="H22" s="39" t="s">
        <v>31</v>
      </c>
      <c r="I22" s="22" t="s">
        <v>31</v>
      </c>
    </row>
    <row r="23" spans="1:9" ht="15" customHeight="1" x14ac:dyDescent="0.25">
      <c r="A23" s="48" t="s">
        <v>118</v>
      </c>
      <c r="B23" s="51" t="str">
        <f>VLOOKUP(B20,A14:E14,(4))</f>
        <v xml:space="preserve">Rio de Janeiro  </v>
      </c>
      <c r="G23" s="102"/>
      <c r="H23" s="41"/>
    </row>
    <row r="24" spans="1:9" ht="15" customHeight="1" x14ac:dyDescent="0.25">
      <c r="A24" s="48" t="s">
        <v>119</v>
      </c>
      <c r="B24" s="51" t="str">
        <f>VLOOKUP(B20,A14:E14,(5))</f>
        <v xml:space="preserve">RJ </v>
      </c>
      <c r="G24" s="102"/>
      <c r="H24" s="41"/>
    </row>
    <row r="25" spans="1:9" ht="15" customHeight="1" x14ac:dyDescent="0.25">
      <c r="G25" s="102"/>
    </row>
    <row r="26" spans="1:9" ht="15" customHeight="1" x14ac:dyDescent="0.25">
      <c r="G26" s="102"/>
    </row>
    <row r="27" spans="1:9" ht="15" customHeight="1" x14ac:dyDescent="0.25">
      <c r="G27" s="10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0C82-7D97-4C1D-AE37-32EE52E9F9CF}">
  <dimension ref="E5:J23"/>
  <sheetViews>
    <sheetView topLeftCell="A19" workbookViewId="0">
      <selection activeCell="D32" sqref="D32"/>
    </sheetView>
  </sheetViews>
  <sheetFormatPr defaultRowHeight="15" x14ac:dyDescent="0.25"/>
  <cols>
    <col min="6" max="6" width="13.28515625" customWidth="1"/>
    <col min="7" max="7" width="19.42578125" customWidth="1"/>
    <col min="8" max="8" width="15.5703125" customWidth="1"/>
    <col min="9" max="9" width="17.85546875" customWidth="1"/>
    <col min="10" max="10" width="23" customWidth="1"/>
    <col min="11" max="11" width="20.85546875" customWidth="1"/>
  </cols>
  <sheetData>
    <row r="5" spans="5:10" ht="15" customHeight="1" x14ac:dyDescent="0.25">
      <c r="E5" s="62" t="s">
        <v>31</v>
      </c>
      <c r="F5" s="62" t="s">
        <v>182</v>
      </c>
      <c r="G5" s="62" t="s">
        <v>183</v>
      </c>
      <c r="H5" s="62" t="s">
        <v>184</v>
      </c>
      <c r="I5" s="62" t="s">
        <v>185</v>
      </c>
      <c r="J5" s="50" t="s">
        <v>196</v>
      </c>
    </row>
    <row r="6" spans="5:10" ht="15" customHeight="1" x14ac:dyDescent="0.25">
      <c r="E6" s="63">
        <v>1</v>
      </c>
      <c r="F6" s="118" t="s">
        <v>194</v>
      </c>
      <c r="G6" s="119"/>
      <c r="H6" s="119"/>
      <c r="I6" s="119"/>
      <c r="J6" s="120"/>
    </row>
    <row r="7" spans="5:10" ht="15" customHeight="1" x14ac:dyDescent="0.25">
      <c r="E7" s="63">
        <v>2</v>
      </c>
      <c r="F7" s="64" t="s">
        <v>31</v>
      </c>
      <c r="G7" s="66" t="s">
        <v>186</v>
      </c>
      <c r="H7" s="66"/>
      <c r="I7" s="66"/>
      <c r="J7" s="66"/>
    </row>
    <row r="8" spans="5:10" ht="15" customHeight="1" x14ac:dyDescent="0.25">
      <c r="E8" s="63">
        <v>3</v>
      </c>
      <c r="F8" s="118" t="s">
        <v>195</v>
      </c>
      <c r="G8" s="119"/>
      <c r="H8" s="119"/>
      <c r="I8" s="119"/>
      <c r="J8" s="120"/>
    </row>
    <row r="9" spans="5:10" ht="15" customHeight="1" x14ac:dyDescent="0.25">
      <c r="E9" s="121">
        <v>4</v>
      </c>
      <c r="F9" s="112" t="s">
        <v>193</v>
      </c>
      <c r="G9" s="113"/>
      <c r="H9" s="113"/>
      <c r="I9" s="113"/>
      <c r="J9" s="114"/>
    </row>
    <row r="10" spans="5:10" ht="15" customHeight="1" x14ac:dyDescent="0.25">
      <c r="E10" s="121"/>
      <c r="F10" s="115"/>
      <c r="G10" s="116"/>
      <c r="H10" s="116"/>
      <c r="I10" s="116"/>
      <c r="J10" s="117"/>
    </row>
    <row r="11" spans="5:10" ht="15" customHeight="1" x14ac:dyDescent="0.25">
      <c r="E11" s="73">
        <v>5</v>
      </c>
      <c r="F11" s="64" t="s">
        <v>31</v>
      </c>
      <c r="G11" s="74" t="s">
        <v>187</v>
      </c>
      <c r="H11" s="66"/>
      <c r="I11" s="66"/>
      <c r="J11" s="66"/>
    </row>
    <row r="12" spans="5:10" ht="15" customHeight="1" x14ac:dyDescent="0.25">
      <c r="E12" s="73">
        <v>6</v>
      </c>
      <c r="F12" s="65"/>
      <c r="G12" s="75"/>
      <c r="H12" s="67"/>
      <c r="I12" s="67"/>
      <c r="J12" s="67"/>
    </row>
    <row r="13" spans="5:10" ht="15" customHeight="1" x14ac:dyDescent="0.25">
      <c r="E13" s="73">
        <v>7</v>
      </c>
      <c r="F13" s="65"/>
      <c r="G13" s="76" t="s">
        <v>197</v>
      </c>
      <c r="H13" s="68" t="s">
        <v>198</v>
      </c>
      <c r="I13" s="68" t="s">
        <v>199</v>
      </c>
      <c r="J13" s="68" t="s">
        <v>200</v>
      </c>
    </row>
    <row r="14" spans="5:10" ht="15" customHeight="1" x14ac:dyDescent="0.25">
      <c r="E14" s="63">
        <v>8</v>
      </c>
      <c r="F14" s="77" t="s">
        <v>188</v>
      </c>
      <c r="G14" s="71">
        <v>24000</v>
      </c>
      <c r="H14" s="69">
        <v>22980</v>
      </c>
      <c r="I14" s="69">
        <v>23900.799999999999</v>
      </c>
      <c r="J14" s="69">
        <v>23000</v>
      </c>
    </row>
    <row r="15" spans="5:10" ht="15" customHeight="1" x14ac:dyDescent="0.25">
      <c r="E15" s="63">
        <v>9</v>
      </c>
      <c r="F15" s="66" t="s">
        <v>189</v>
      </c>
      <c r="G15" s="70">
        <v>24120</v>
      </c>
      <c r="H15" s="71">
        <v>23014</v>
      </c>
      <c r="I15" s="70">
        <v>24019</v>
      </c>
      <c r="J15" s="70">
        <v>23115</v>
      </c>
    </row>
    <row r="16" spans="5:10" ht="15" customHeight="1" x14ac:dyDescent="0.25">
      <c r="E16" s="63">
        <v>10</v>
      </c>
      <c r="F16" s="66" t="s">
        <v>190</v>
      </c>
      <c r="G16" s="71">
        <v>24240</v>
      </c>
      <c r="H16" s="70">
        <v>23129.57</v>
      </c>
      <c r="I16" s="70">
        <v>24139.599999999999</v>
      </c>
      <c r="J16" s="70">
        <v>23230.58</v>
      </c>
    </row>
    <row r="17" spans="5:10" ht="15" customHeight="1" x14ac:dyDescent="0.25">
      <c r="E17" s="63">
        <v>11</v>
      </c>
      <c r="F17" s="66" t="s">
        <v>191</v>
      </c>
      <c r="G17" s="70">
        <v>24361</v>
      </c>
      <c r="H17" s="70">
        <v>23254</v>
      </c>
      <c r="I17" s="70">
        <v>24260</v>
      </c>
      <c r="J17" s="70">
        <v>23346.73</v>
      </c>
    </row>
    <row r="18" spans="5:10" ht="15" customHeight="1" x14ac:dyDescent="0.25">
      <c r="E18" s="63">
        <v>12</v>
      </c>
      <c r="F18" s="66" t="s">
        <v>192</v>
      </c>
      <c r="G18" s="70">
        <v>24483.61</v>
      </c>
      <c r="H18" s="72">
        <v>23361.45</v>
      </c>
      <c r="I18" s="70">
        <v>24381.599999999999</v>
      </c>
      <c r="J18" s="70">
        <v>23463.46</v>
      </c>
    </row>
    <row r="19" spans="5:10" x14ac:dyDescent="0.25">
      <c r="E19" s="59" t="s">
        <v>31</v>
      </c>
    </row>
    <row r="20" spans="5:10" x14ac:dyDescent="0.25">
      <c r="E20" s="59" t="s">
        <v>31</v>
      </c>
    </row>
    <row r="21" spans="5:10" x14ac:dyDescent="0.25">
      <c r="E21" s="60" t="s">
        <v>31</v>
      </c>
    </row>
    <row r="22" spans="5:10" x14ac:dyDescent="0.25">
      <c r="E22" s="20" t="s">
        <v>31</v>
      </c>
    </row>
    <row r="23" spans="5:10" x14ac:dyDescent="0.25">
      <c r="E23" s="61" t="s">
        <v>31</v>
      </c>
    </row>
  </sheetData>
  <mergeCells count="4">
    <mergeCell ref="F9:J10"/>
    <mergeCell ref="F8:J8"/>
    <mergeCell ref="F6:J6"/>
    <mergeCell ref="E9:E10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4412-A302-49BF-BDAE-A92D70800281}">
  <dimension ref="E2:L25"/>
  <sheetViews>
    <sheetView topLeftCell="B19" workbookViewId="0">
      <selection activeCell="L40" sqref="L40"/>
    </sheetView>
  </sheetViews>
  <sheetFormatPr defaultRowHeight="15" x14ac:dyDescent="0.25"/>
  <cols>
    <col min="5" max="5" width="21.42578125" customWidth="1"/>
    <col min="6" max="6" width="24.28515625" customWidth="1"/>
    <col min="7" max="7" width="24.140625" customWidth="1"/>
    <col min="9" max="9" width="12" customWidth="1"/>
    <col min="10" max="10" width="12.42578125" customWidth="1"/>
    <col min="11" max="11" width="10.85546875" customWidth="1"/>
    <col min="12" max="12" width="11.7109375" customWidth="1"/>
  </cols>
  <sheetData>
    <row r="2" spans="5:12" x14ac:dyDescent="0.25">
      <c r="E2" s="125" t="s">
        <v>224</v>
      </c>
      <c r="F2" s="125"/>
      <c r="G2" s="125"/>
      <c r="H2" s="125"/>
      <c r="I2" s="125"/>
      <c r="J2" s="125"/>
      <c r="K2" s="125"/>
      <c r="L2" s="125"/>
    </row>
    <row r="4" spans="5:12" ht="15.75" thickBot="1" x14ac:dyDescent="0.3">
      <c r="E4" s="122"/>
      <c r="F4" s="122"/>
      <c r="G4" s="52"/>
    </row>
    <row r="5" spans="5:12" ht="24" customHeight="1" thickBot="1" x14ac:dyDescent="0.3">
      <c r="E5" s="78" t="s">
        <v>201</v>
      </c>
    </row>
    <row r="6" spans="5:12" ht="15.75" thickBot="1" x14ac:dyDescent="0.3">
      <c r="E6" s="123"/>
      <c r="F6" s="123"/>
      <c r="G6" s="53"/>
    </row>
    <row r="7" spans="5:12" ht="26.25" thickBot="1" x14ac:dyDescent="0.3">
      <c r="E7" s="78" t="s">
        <v>202</v>
      </c>
      <c r="F7" s="79">
        <v>0.125</v>
      </c>
      <c r="G7" s="53"/>
    </row>
    <row r="8" spans="5:12" ht="15.75" thickBot="1" x14ac:dyDescent="0.3">
      <c r="E8" s="80" t="s">
        <v>203</v>
      </c>
      <c r="F8" s="81">
        <v>3.34</v>
      </c>
      <c r="G8" s="53"/>
    </row>
    <row r="9" spans="5:12" x14ac:dyDescent="0.25">
      <c r="E9" s="18" t="s">
        <v>31</v>
      </c>
      <c r="F9" s="82" t="s">
        <v>31</v>
      </c>
      <c r="G9" s="82" t="s">
        <v>31</v>
      </c>
      <c r="H9" s="82" t="s">
        <v>31</v>
      </c>
      <c r="I9" s="82" t="s">
        <v>31</v>
      </c>
      <c r="J9" s="82" t="s">
        <v>31</v>
      </c>
      <c r="K9" s="82" t="s">
        <v>31</v>
      </c>
      <c r="L9" s="82" t="s">
        <v>31</v>
      </c>
    </row>
    <row r="10" spans="5:12" x14ac:dyDescent="0.25">
      <c r="E10" s="18" t="s">
        <v>31</v>
      </c>
      <c r="F10" s="82" t="s">
        <v>31</v>
      </c>
      <c r="G10" s="82" t="s">
        <v>31</v>
      </c>
      <c r="H10" s="83" t="s">
        <v>31</v>
      </c>
      <c r="I10" s="82" t="s">
        <v>31</v>
      </c>
      <c r="J10" s="82" t="s">
        <v>31</v>
      </c>
      <c r="K10" s="83" t="s">
        <v>31</v>
      </c>
      <c r="L10" s="82" t="s">
        <v>31</v>
      </c>
    </row>
    <row r="11" spans="5:12" x14ac:dyDescent="0.25">
      <c r="E11" s="42" t="s">
        <v>31</v>
      </c>
      <c r="F11" s="85" t="s">
        <v>31</v>
      </c>
      <c r="G11" s="124" t="s">
        <v>223</v>
      </c>
      <c r="H11" s="124"/>
      <c r="I11" s="124"/>
      <c r="J11" s="124" t="s">
        <v>222</v>
      </c>
      <c r="K11" s="124"/>
      <c r="L11" s="124"/>
    </row>
    <row r="12" spans="5:12" x14ac:dyDescent="0.25">
      <c r="E12" s="86" t="s">
        <v>204</v>
      </c>
      <c r="F12" s="86" t="s">
        <v>205</v>
      </c>
      <c r="G12" s="86" t="s">
        <v>206</v>
      </c>
      <c r="H12" s="86" t="s">
        <v>207</v>
      </c>
      <c r="I12" s="86" t="s">
        <v>208</v>
      </c>
      <c r="J12" s="86" t="s">
        <v>209</v>
      </c>
      <c r="K12" s="86" t="s">
        <v>210</v>
      </c>
      <c r="L12" s="86" t="s">
        <v>211</v>
      </c>
    </row>
    <row r="13" spans="5:12" x14ac:dyDescent="0.25">
      <c r="E13" s="86" t="s">
        <v>212</v>
      </c>
      <c r="F13" s="87">
        <v>500</v>
      </c>
      <c r="G13" s="87">
        <v>0.5</v>
      </c>
      <c r="H13" s="90">
        <v>0.55000000000000004</v>
      </c>
      <c r="I13" s="87">
        <f>H13*F13</f>
        <v>275</v>
      </c>
      <c r="J13" s="87">
        <f>G13/F8</f>
        <v>0.14970059880239522</v>
      </c>
      <c r="K13" s="89">
        <f>J13*1+F7</f>
        <v>0.27470059880239522</v>
      </c>
      <c r="L13" s="50">
        <f>K13*F8</f>
        <v>0.91749999999999998</v>
      </c>
    </row>
    <row r="14" spans="5:12" x14ac:dyDescent="0.25">
      <c r="E14" s="86" t="s">
        <v>213</v>
      </c>
      <c r="F14" s="87">
        <v>200</v>
      </c>
      <c r="G14" s="87">
        <v>2.57</v>
      </c>
      <c r="H14" s="90">
        <v>2.7</v>
      </c>
      <c r="I14" s="87">
        <f t="shared" ref="I14:I23" si="0">H14*F14</f>
        <v>540</v>
      </c>
      <c r="J14" s="87">
        <f>G14/F8</f>
        <v>0.76946107784431139</v>
      </c>
      <c r="K14" s="89">
        <f>J14*1+F7</f>
        <v>0.89446107784431139</v>
      </c>
      <c r="L14" s="50">
        <f>K14*F8</f>
        <v>2.9874999999999998</v>
      </c>
    </row>
    <row r="15" spans="5:12" x14ac:dyDescent="0.25">
      <c r="E15" s="86" t="s">
        <v>214</v>
      </c>
      <c r="F15" s="87">
        <v>300</v>
      </c>
      <c r="G15" s="87">
        <v>5</v>
      </c>
      <c r="H15" s="90">
        <v>5.5</v>
      </c>
      <c r="I15" s="87">
        <f t="shared" si="0"/>
        <v>1650</v>
      </c>
      <c r="J15" s="87">
        <f>G15/F8</f>
        <v>1.4970059880239521</v>
      </c>
      <c r="K15" s="91">
        <f>J15*1+F7</f>
        <v>1.6220059880239521</v>
      </c>
      <c r="L15" s="50">
        <f>K15*F8</f>
        <v>5.4174999999999995</v>
      </c>
    </row>
    <row r="16" spans="5:12" x14ac:dyDescent="0.25">
      <c r="E16" s="86" t="s">
        <v>75</v>
      </c>
      <c r="F16" s="87">
        <v>1000</v>
      </c>
      <c r="G16" s="87">
        <v>0.15</v>
      </c>
      <c r="H16" s="90">
        <v>0.25</v>
      </c>
      <c r="I16" s="87">
        <f t="shared" si="0"/>
        <v>250</v>
      </c>
      <c r="J16" s="87">
        <f>G16/F8</f>
        <v>4.4910179640718563E-2</v>
      </c>
      <c r="K16" s="89">
        <f>J16*1+F7</f>
        <v>0.16991017964071856</v>
      </c>
      <c r="L16" s="50">
        <f>K16*F8</f>
        <v>0.5675</v>
      </c>
    </row>
    <row r="17" spans="5:12" x14ac:dyDescent="0.25">
      <c r="E17" s="86" t="s">
        <v>76</v>
      </c>
      <c r="F17" s="87">
        <v>1000</v>
      </c>
      <c r="G17" s="87">
        <v>0.15</v>
      </c>
      <c r="H17" s="90">
        <v>0.25</v>
      </c>
      <c r="I17" s="87">
        <f t="shared" si="0"/>
        <v>250</v>
      </c>
      <c r="J17" s="87">
        <f>G17/F8</f>
        <v>4.4910179640718563E-2</v>
      </c>
      <c r="K17" s="89">
        <f>J17*1+F7</f>
        <v>0.16991017964071856</v>
      </c>
      <c r="L17" s="50">
        <f>K17*F8</f>
        <v>0.5675</v>
      </c>
    </row>
    <row r="18" spans="5:12" x14ac:dyDescent="0.25">
      <c r="E18" s="86" t="s">
        <v>215</v>
      </c>
      <c r="F18" s="87">
        <v>200</v>
      </c>
      <c r="G18" s="87">
        <v>3</v>
      </c>
      <c r="H18" s="90">
        <v>3.5</v>
      </c>
      <c r="I18" s="87">
        <f t="shared" si="0"/>
        <v>700</v>
      </c>
      <c r="J18" s="87">
        <f t="shared" ref="J18" si="1">G18/F13</f>
        <v>6.0000000000000001E-3</v>
      </c>
      <c r="K18" s="89">
        <f>J18*1+F7</f>
        <v>0.13100000000000001</v>
      </c>
      <c r="L18" s="50">
        <f>K18*F8</f>
        <v>0.43753999999999998</v>
      </c>
    </row>
    <row r="19" spans="5:12" x14ac:dyDescent="0.25">
      <c r="E19" s="86" t="s">
        <v>216</v>
      </c>
      <c r="F19" s="87">
        <v>500</v>
      </c>
      <c r="G19" s="87">
        <v>0.25</v>
      </c>
      <c r="H19" s="90">
        <v>0.3</v>
      </c>
      <c r="I19" s="87">
        <f t="shared" si="0"/>
        <v>150</v>
      </c>
      <c r="J19" s="87">
        <f>G19/F8</f>
        <v>7.4850299401197612E-2</v>
      </c>
      <c r="K19" s="89">
        <f>J19*1+F7</f>
        <v>0.19985029940119761</v>
      </c>
      <c r="L19" s="50">
        <f>K19*F8</f>
        <v>0.66749999999999998</v>
      </c>
    </row>
    <row r="20" spans="5:12" x14ac:dyDescent="0.25">
      <c r="E20" s="86" t="s">
        <v>217</v>
      </c>
      <c r="F20" s="87">
        <v>500</v>
      </c>
      <c r="G20" s="87">
        <v>0.35</v>
      </c>
      <c r="H20" s="90">
        <v>0.45</v>
      </c>
      <c r="I20" s="87">
        <f t="shared" si="0"/>
        <v>225</v>
      </c>
      <c r="J20" s="87">
        <f>G20/F8</f>
        <v>0.10479041916167664</v>
      </c>
      <c r="K20" s="89">
        <f>J20*1+F7</f>
        <v>0.22979041916167664</v>
      </c>
      <c r="L20" s="50">
        <f>K20*F8</f>
        <v>0.76749999999999996</v>
      </c>
    </row>
    <row r="21" spans="5:12" x14ac:dyDescent="0.25">
      <c r="E21" s="86" t="s">
        <v>218</v>
      </c>
      <c r="F21" s="87">
        <v>50</v>
      </c>
      <c r="G21" s="87">
        <v>6</v>
      </c>
      <c r="H21" s="90">
        <v>6.5</v>
      </c>
      <c r="I21" s="87">
        <f t="shared" si="0"/>
        <v>325</v>
      </c>
      <c r="J21" s="87">
        <f>G21/F8</f>
        <v>1.7964071856287427</v>
      </c>
      <c r="K21" s="89">
        <f>J21*1+F7</f>
        <v>1.9214071856287427</v>
      </c>
      <c r="L21" s="50">
        <f>K21*F8</f>
        <v>6.4175000000000004</v>
      </c>
    </row>
    <row r="22" spans="5:12" x14ac:dyDescent="0.25">
      <c r="E22" s="86" t="s">
        <v>219</v>
      </c>
      <c r="F22" s="87">
        <v>100</v>
      </c>
      <c r="G22" s="87">
        <v>3.14</v>
      </c>
      <c r="H22" s="90">
        <v>4</v>
      </c>
      <c r="I22" s="87">
        <f t="shared" si="0"/>
        <v>400</v>
      </c>
      <c r="J22" s="87">
        <f>G22/F8</f>
        <v>0.940119760479042</v>
      </c>
      <c r="K22" s="89">
        <f>J22*1+F7</f>
        <v>1.0651197604790421</v>
      </c>
      <c r="L22" s="50">
        <f>K22*F8</f>
        <v>3.5575000000000006</v>
      </c>
    </row>
    <row r="23" spans="5:12" x14ac:dyDescent="0.25">
      <c r="E23" s="86" t="s">
        <v>220</v>
      </c>
      <c r="F23" s="87">
        <v>100</v>
      </c>
      <c r="G23" s="87">
        <v>5.68</v>
      </c>
      <c r="H23" s="90">
        <v>6</v>
      </c>
      <c r="I23" s="87">
        <f t="shared" si="0"/>
        <v>600</v>
      </c>
      <c r="J23" s="87">
        <f>G23/F8</f>
        <v>1.7005988023952097</v>
      </c>
      <c r="K23" s="89">
        <f>J23*1+F7</f>
        <v>1.8255988023952097</v>
      </c>
      <c r="L23" s="50">
        <f>K23*F8</f>
        <v>6.0975000000000001</v>
      </c>
    </row>
    <row r="24" spans="5:12" x14ac:dyDescent="0.25">
      <c r="E24" s="86" t="s">
        <v>221</v>
      </c>
      <c r="F24" s="87">
        <f>SUM(F13:F23)</f>
        <v>4450</v>
      </c>
      <c r="G24" s="87">
        <f t="shared" ref="G24:L24" si="2">SUM(G13:G23)</f>
        <v>26.79</v>
      </c>
      <c r="H24" s="87">
        <f t="shared" si="2"/>
        <v>30</v>
      </c>
      <c r="I24" s="87">
        <f t="shared" si="2"/>
        <v>5365</v>
      </c>
      <c r="J24" s="87">
        <f>SUM(J13:J23)</f>
        <v>7.1287544910179648</v>
      </c>
      <c r="K24" s="88">
        <f>SUM(K13:K23)</f>
        <v>8.5037544910179648</v>
      </c>
      <c r="L24" s="87">
        <f t="shared" si="2"/>
        <v>28.402540000000002</v>
      </c>
    </row>
    <row r="25" spans="5:12" x14ac:dyDescent="0.25">
      <c r="E25" s="84" t="s">
        <v>31</v>
      </c>
    </row>
  </sheetData>
  <mergeCells count="5">
    <mergeCell ref="E4:F4"/>
    <mergeCell ref="E6:F6"/>
    <mergeCell ref="J11:L11"/>
    <mergeCell ref="G11:I11"/>
    <mergeCell ref="E2:L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112c38-7917-4ce2-ab2c-8c3c1c2d21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528EC557DE734A939EE6E9388AC78E" ma:contentTypeVersion="5" ma:contentTypeDescription="Crie um novo documento." ma:contentTypeScope="" ma:versionID="a27f6ea67e3eb52d53b3fc641ea6da08">
  <xsd:schema xmlns:xsd="http://www.w3.org/2001/XMLSchema" xmlns:xs="http://www.w3.org/2001/XMLSchema" xmlns:p="http://schemas.microsoft.com/office/2006/metadata/properties" xmlns:ns3="f4112c38-7917-4ce2-ab2c-8c3c1c2d2155" targetNamespace="http://schemas.microsoft.com/office/2006/metadata/properties" ma:root="true" ma:fieldsID="646f0eff27e8922b6cf72852a4e4fd4a" ns3:_="">
    <xsd:import namespace="f4112c38-7917-4ce2-ab2c-8c3c1c2d21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12c38-7917-4ce2-ab2c-8c3c1c2d21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B5762D-9D21-4EAD-8EB5-CDAD32C5695F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4112c38-7917-4ce2-ab2c-8c3c1c2d215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9DEEB1-4792-4B30-8913-9F5DD9D5D8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9ED35-08BF-45CD-A1AA-C258B26F9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12c38-7917-4ce2-ab2c-8c3c1c2d21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Exercicio1</vt:lpstr>
      <vt:lpstr>Exercicio2</vt:lpstr>
      <vt:lpstr>Exercicio3</vt:lpstr>
      <vt:lpstr>Exercicio4</vt:lpstr>
      <vt:lpstr>Exercicio5</vt:lpstr>
      <vt:lpstr>Exercicio6</vt:lpstr>
      <vt:lpstr>Exercicio7</vt:lpstr>
      <vt:lpstr>Exercicio8</vt:lpstr>
      <vt:lpstr>Exercicio9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2026-03-06T14:03:45Z</dcterms:created>
  <dcterms:modified xsi:type="dcterms:W3CDTF">2026-03-17T14:35:13Z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0x010100E1528EC557DE734A939EE6E9388AC78E</vt:lpwstr>
  </property>
</Properties>
</file>